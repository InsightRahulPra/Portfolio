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8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zul\Documents\Github\Portfolio\Excel Projects\Budget Tracking System\"/>
    </mc:Choice>
  </mc:AlternateContent>
  <xr:revisionPtr revIDLastSave="0" documentId="13_ncr:1_{AE86958A-15A3-4D57-9C5F-F7880D00454F}" xr6:coauthVersionLast="47" xr6:coauthVersionMax="47" xr10:uidLastSave="{00000000-0000-0000-0000-000000000000}"/>
  <bookViews>
    <workbookView xWindow="28680" yWindow="-120" windowWidth="23640" windowHeight="15720" firstSheet="1" activeTab="4" xr2:uid="{EF676F43-5E52-415C-A265-69AB6EB28E12}"/>
  </bookViews>
  <sheets>
    <sheet name="Example Data" sheetId="1" r:id="rId1"/>
    <sheet name="Example DashBoard" sheetId="2" r:id="rId2"/>
    <sheet name="Monthly data" sheetId="3" r:id="rId3"/>
    <sheet name="Transactions" sheetId="5" r:id="rId4"/>
    <sheet name="Summary" sheetId="6" r:id="rId5"/>
    <sheet name="Saving Goals" sheetId="7" r:id="rId6"/>
    <sheet name="Dashboard" sheetId="8" r:id="rId7"/>
    <sheet name="Resources" sheetId="4" r:id="rId8"/>
  </sheets>
  <definedNames>
    <definedName name="_xlchart.v1.0" hidden="1">'Example Data'!$A$4:$A$9</definedName>
    <definedName name="_xlchart.v1.1" hidden="1">'Example Data'!$B$4:$B$9</definedName>
    <definedName name="_xlchart.v1.14" hidden="1">Summary!$A$4:$A$9</definedName>
    <definedName name="_xlchart.v1.15" hidden="1">Summary!$B$4:$B$9</definedName>
    <definedName name="_xlchart.v1.6" hidden="1">'Example Data'!$A$4:$A$9</definedName>
    <definedName name="_xlchart.v1.7" hidden="1">'Example Data'!$B$4:$B$9</definedName>
    <definedName name="_xlchart.v1.8" hidden="1">Summary!$A$4:$A$9</definedName>
    <definedName name="_xlchart.v1.9" hidden="1">Summary!$B$4:$B$9</definedName>
    <definedName name="_xlchart.v2.10" hidden="1">Summary!$A$12:$A$17</definedName>
    <definedName name="_xlchart.v2.11" hidden="1">Summary!$B$12:$B$17</definedName>
    <definedName name="_xlchart.v2.12" hidden="1">Summary!$A$12:$A$17</definedName>
    <definedName name="_xlchart.v2.13" hidden="1">Summary!$B$12:$B$17</definedName>
    <definedName name="_xlchart.v2.2" hidden="1">'Example Data'!$A$12:$A$17</definedName>
    <definedName name="_xlchart.v2.3" hidden="1">'Example Data'!$B$12:$B$17</definedName>
    <definedName name="_xlchart.v2.4" hidden="1">'Example Data'!$A$12:$A$17</definedName>
    <definedName name="_xlchart.v2.5" hidden="1">'Example Data'!$B$12:$B$17</definedName>
    <definedName name="Assets">Asset_table[Amount]</definedName>
    <definedName name="Date_range">Resources!$D$2:$D$31</definedName>
    <definedName name="date_txn">Txn_table[Date]</definedName>
    <definedName name="dateIndex">Resources!$E$2:$E$8</definedName>
    <definedName name="Day_num">Resources!$E$2:$E$31</definedName>
    <definedName name="net_expense">Summary!$B$12</definedName>
    <definedName name="net_income">Summary!$B$9</definedName>
    <definedName name="net_profit">Summary!$B$19</definedName>
    <definedName name="Orglist">Rate_Table[Organization]</definedName>
    <definedName name="Transactions_Table">Txn_table[]</definedName>
    <definedName name="Txn_Cat_list">Categories_Table[Category]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8" l="1"/>
  <c r="B25" i="6"/>
  <c r="B24" i="6"/>
  <c r="T9" i="4" a="1"/>
  <c r="T9" i="4" s="1"/>
  <c r="S2" i="4" a="1"/>
  <c r="S2" i="4" s="1"/>
  <c r="R2" i="4" a="1"/>
  <c r="R2" i="4" s="1"/>
  <c r="Q2" i="4" a="1"/>
  <c r="Q2" i="4" s="1"/>
  <c r="N2" i="4" l="1" a="1"/>
  <c r="N2" i="4" s="1"/>
  <c r="M2" i="4" a="1"/>
  <c r="M2" i="4" s="1"/>
  <c r="H4" i="4"/>
  <c r="H5" i="4" s="1"/>
  <c r="H6" i="4" s="1"/>
  <c r="H7" i="4" s="1"/>
  <c r="H8" i="4" s="1"/>
  <c r="H3" i="4"/>
  <c r="H2" i="4"/>
  <c r="I2" i="5"/>
  <c r="D2" i="4" a="1"/>
  <c r="D2" i="4" s="1"/>
  <c r="J2" i="4" s="1" a="1"/>
  <c r="J2" i="4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C29" i="8"/>
  <c r="A25" i="8"/>
  <c r="A26" i="8"/>
  <c r="A27" i="8"/>
  <c r="A28" i="8"/>
  <c r="A29" i="8"/>
  <c r="B24" i="8" a="1"/>
  <c r="B24" i="8" s="1"/>
  <c r="I12" i="7"/>
  <c r="I13" i="7"/>
  <c r="I14" i="7"/>
  <c r="I15" i="7"/>
  <c r="I16" i="7"/>
  <c r="I17" i="7"/>
  <c r="E17" i="7"/>
  <c r="D17" i="7"/>
  <c r="F17" i="7" s="1"/>
  <c r="C14" i="6"/>
  <c r="B14" i="6" s="1"/>
  <c r="D5" i="7" s="1"/>
  <c r="E5" i="7" s="1"/>
  <c r="F5" i="7" s="1"/>
  <c r="C15" i="6"/>
  <c r="B15" i="6" s="1"/>
  <c r="D6" i="7" s="1"/>
  <c r="E6" i="7" s="1"/>
  <c r="F6" i="7" s="1"/>
  <c r="C16" i="6"/>
  <c r="B16" i="6" s="1"/>
  <c r="D7" i="7" s="1"/>
  <c r="E7" i="7" s="1"/>
  <c r="F7" i="7" s="1"/>
  <c r="C17" i="6"/>
  <c r="B17" i="6" s="1"/>
  <c r="D8" i="7" s="1"/>
  <c r="E8" i="7" s="1"/>
  <c r="F8" i="7" s="1"/>
  <c r="C13" i="6"/>
  <c r="B13" i="6" s="1"/>
  <c r="D4" i="7" s="1"/>
  <c r="E4" i="7" s="1"/>
  <c r="F4" i="7" s="1"/>
  <c r="Q3" i="3" a="1"/>
  <c r="Q3" i="3" s="1"/>
  <c r="B20" i="1"/>
  <c r="B21" i="1"/>
  <c r="B22" i="5"/>
  <c r="B23" i="5"/>
  <c r="B2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" i="5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E3" i="3"/>
  <c r="G3" i="3" s="1"/>
  <c r="O3" i="3" s="1"/>
  <c r="E4" i="3"/>
  <c r="G4" i="3" s="1"/>
  <c r="E5" i="3"/>
  <c r="G5" i="3" s="1"/>
  <c r="E6" i="3"/>
  <c r="G6" i="3" s="1"/>
  <c r="E7" i="3"/>
  <c r="G7" i="3" s="1"/>
  <c r="E8" i="3"/>
  <c r="G8" i="3" s="1"/>
  <c r="E9" i="3"/>
  <c r="G9" i="3" s="1"/>
  <c r="O5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E2" i="3"/>
  <c r="G2" i="3" s="1"/>
  <c r="B7" i="1"/>
  <c r="B6" i="1"/>
  <c r="B5" i="1"/>
  <c r="B12" i="1"/>
  <c r="B8" i="1"/>
  <c r="C9" i="6"/>
  <c r="C8" i="1"/>
  <c r="C4" i="6"/>
  <c r="C6" i="1"/>
  <c r="C6" i="6"/>
  <c r="C7" i="6"/>
  <c r="C8" i="6"/>
  <c r="C7" i="1"/>
  <c r="C5" i="6"/>
  <c r="C5" i="1"/>
  <c r="C4" i="1"/>
  <c r="C9" i="1"/>
  <c r="F2" i="4" l="1" a="1"/>
  <c r="F2" i="4" s="1"/>
  <c r="E2" i="4" a="1"/>
  <c r="E2" i="4" s="1"/>
  <c r="K2" i="4" s="1" a="1"/>
  <c r="K2" i="4" s="1"/>
  <c r="G2" i="4" a="1"/>
  <c r="G2" i="4" s="1"/>
  <c r="J17" i="7"/>
  <c r="C12" i="6"/>
  <c r="B12" i="6" s="1"/>
  <c r="O6" i="3"/>
  <c r="O4" i="3"/>
  <c r="R3" i="3" s="1" a="1"/>
  <c r="R3" i="3" s="1"/>
  <c r="B9" i="1"/>
  <c r="B19" i="1" s="1"/>
  <c r="L2" i="4" l="1" a="1"/>
  <c r="L2" i="4" s="1"/>
  <c r="B26" i="6"/>
  <c r="B4" i="6"/>
  <c r="B8" i="6" l="1"/>
  <c r="B7" i="6"/>
  <c r="B6" i="6"/>
  <c r="B5" i="6"/>
  <c r="B9" i="6" l="1"/>
  <c r="B19" i="6" l="1"/>
  <c r="C9" i="8" l="1"/>
  <c r="C21" i="8" s="1"/>
  <c r="D12" i="7"/>
  <c r="D15" i="7"/>
  <c r="D16" i="7"/>
  <c r="D13" i="7"/>
  <c r="D14" i="7"/>
  <c r="B20" i="6"/>
  <c r="B21" i="6" s="1"/>
  <c r="E15" i="7" l="1"/>
  <c r="C27" i="8" s="1"/>
  <c r="J15" i="7"/>
  <c r="F15" i="7"/>
  <c r="E14" i="7"/>
  <c r="C26" i="8" s="1"/>
  <c r="J14" i="7"/>
  <c r="F14" i="7"/>
  <c r="E13" i="7"/>
  <c r="C25" i="8" s="1"/>
  <c r="J13" i="7"/>
  <c r="F13" i="7"/>
  <c r="F16" i="7"/>
  <c r="J16" i="7"/>
  <c r="E16" i="7"/>
  <c r="C28" i="8" s="1"/>
  <c r="F12" i="7"/>
  <c r="J12" i="7"/>
  <c r="E12" i="7"/>
  <c r="C24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<sst xmlns="http://schemas.openxmlformats.org/spreadsheetml/2006/main" count="280" uniqueCount="120">
  <si>
    <t>Budget Tracking Dashboard</t>
  </si>
  <si>
    <t>Income</t>
  </si>
  <si>
    <t>Salary</t>
  </si>
  <si>
    <t>tax (20%)</t>
  </si>
  <si>
    <t>Super</t>
  </si>
  <si>
    <t>Insurance</t>
  </si>
  <si>
    <t>Bonus</t>
  </si>
  <si>
    <t>Net Income</t>
  </si>
  <si>
    <t>Expense</t>
  </si>
  <si>
    <t>Rent</t>
  </si>
  <si>
    <t>Food</t>
  </si>
  <si>
    <t>Car Petrol</t>
  </si>
  <si>
    <t>Mobile Bills</t>
  </si>
  <si>
    <t>Travel</t>
  </si>
  <si>
    <t>Net Profit</t>
  </si>
  <si>
    <t>% Saving</t>
  </si>
  <si>
    <t>Net Expense</t>
  </si>
  <si>
    <t>%Expenses</t>
  </si>
  <si>
    <t>Date</t>
  </si>
  <si>
    <t xml:space="preserve">organization </t>
  </si>
  <si>
    <t>Salary Rate</t>
  </si>
  <si>
    <t>Organization</t>
  </si>
  <si>
    <t>Comments</t>
  </si>
  <si>
    <t>Role</t>
  </si>
  <si>
    <t>Rate</t>
  </si>
  <si>
    <t>Teammember</t>
  </si>
  <si>
    <t>AMPOL</t>
  </si>
  <si>
    <t>COLES</t>
  </si>
  <si>
    <t>Total_time_worked</t>
  </si>
  <si>
    <t>start_time</t>
  </si>
  <si>
    <t>end_time</t>
  </si>
  <si>
    <t>Money_Earned</t>
  </si>
  <si>
    <t>Total_Earned</t>
  </si>
  <si>
    <t>Example: to be deleted once true data is entered</t>
  </si>
  <si>
    <t>Category</t>
  </si>
  <si>
    <t>Type</t>
  </si>
  <si>
    <t>Expense (Variable)</t>
  </si>
  <si>
    <t>Expense (Fixed)</t>
  </si>
  <si>
    <t>Type (Income/Expense)</t>
  </si>
  <si>
    <t>Account</t>
  </si>
  <si>
    <t>Amount</t>
  </si>
  <si>
    <t>Notes</t>
  </si>
  <si>
    <t>Tags</t>
  </si>
  <si>
    <t>Bank</t>
  </si>
  <si>
    <t>Work</t>
  </si>
  <si>
    <t>Fixed</t>
  </si>
  <si>
    <t>Credit</t>
  </si>
  <si>
    <t>Groceries</t>
  </si>
  <si>
    <t>Variable</t>
  </si>
  <si>
    <t>Day</t>
  </si>
  <si>
    <t>COLES_SPL</t>
  </si>
  <si>
    <t>AMPOL_SPL</t>
  </si>
  <si>
    <t>Bonus new year 2025</t>
  </si>
  <si>
    <t>Jan Salary coles</t>
  </si>
  <si>
    <t>Jan Salary Ampol</t>
  </si>
  <si>
    <t>January 1 Rent</t>
  </si>
  <si>
    <t>bus</t>
  </si>
  <si>
    <t>Weekend Car Petrol</t>
  </si>
  <si>
    <t>Formulated Answers</t>
  </si>
  <si>
    <t>Goal</t>
  </si>
  <si>
    <t>Budget</t>
  </si>
  <si>
    <t>Actual</t>
  </si>
  <si>
    <t>Variance</t>
  </si>
  <si>
    <t>%_Variance</t>
  </si>
  <si>
    <t>Note:</t>
  </si>
  <si>
    <t>Variance = C2 - B2</t>
  </si>
  <si>
    <t xml:space="preserve"> %_Variance = D2 / B2</t>
  </si>
  <si>
    <t>Budgeting</t>
  </si>
  <si>
    <t>Goal Tracker</t>
  </si>
  <si>
    <t>Target Amount</t>
  </si>
  <si>
    <t>Current Savings</t>
  </si>
  <si>
    <t>% Achieved</t>
  </si>
  <si>
    <t>Emergency Fund</t>
  </si>
  <si>
    <t>$ to go</t>
  </si>
  <si>
    <t>Priority</t>
  </si>
  <si>
    <t>Goal Achieved</t>
  </si>
  <si>
    <t>Car Emergency Fund</t>
  </si>
  <si>
    <t>Mobile</t>
  </si>
  <si>
    <t>Name</t>
  </si>
  <si>
    <t>Age</t>
  </si>
  <si>
    <t>Occupation</t>
  </si>
  <si>
    <t>Bank Balance</t>
  </si>
  <si>
    <t>Property Value</t>
  </si>
  <si>
    <t>Total Investments</t>
  </si>
  <si>
    <t>Other Assets</t>
  </si>
  <si>
    <t>Credit card debt</t>
  </si>
  <si>
    <t>Personal Loans</t>
  </si>
  <si>
    <t>Mortgage Balance</t>
  </si>
  <si>
    <t>Debt</t>
  </si>
  <si>
    <t>Any Obligations</t>
  </si>
  <si>
    <t>Team Member</t>
  </si>
  <si>
    <t>Assets</t>
  </si>
  <si>
    <t>Liabilities</t>
  </si>
  <si>
    <t>Net Worth</t>
  </si>
  <si>
    <t>DeadLine</t>
  </si>
  <si>
    <t>House Deposit</t>
  </si>
  <si>
    <t>Retirement</t>
  </si>
  <si>
    <t>High</t>
  </si>
  <si>
    <t>Medium</t>
  </si>
  <si>
    <t>Long Term</t>
  </si>
  <si>
    <t>Total Month Left</t>
  </si>
  <si>
    <t>Monthly Goal</t>
  </si>
  <si>
    <t>John Doe</t>
  </si>
  <si>
    <t>Goals</t>
  </si>
  <si>
    <t>KPI</t>
  </si>
  <si>
    <t>Burn Rate</t>
  </si>
  <si>
    <t>Net CashFlow</t>
  </si>
  <si>
    <t>Saving Rate</t>
  </si>
  <si>
    <t>Balance</t>
  </si>
  <si>
    <t>DayNum</t>
  </si>
  <si>
    <t>Daily Income</t>
  </si>
  <si>
    <t>Daily Expense</t>
  </si>
  <si>
    <t>forecast_date</t>
  </si>
  <si>
    <t>Forecast_daynum</t>
  </si>
  <si>
    <t>Forecasted_Total</t>
  </si>
  <si>
    <t>Forecast_income</t>
  </si>
  <si>
    <t>Forecast_Expense</t>
  </si>
  <si>
    <t>Daynum</t>
  </si>
  <si>
    <t>Daily total</t>
  </si>
  <si>
    <t>Forecasted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</si>
</sst>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F400]h:mm:ss\ AM/PM"/>
    <numFmt numFmtId="165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53">
    <xf numFmtId="0" fontId="0" fillId="0" borderId="0" xfId="0"/>
    <xf numFmtId="44" fontId="0" fillId="0" borderId="0" xfId="1" applyFont="1"/>
    <xf numFmtId="9" fontId="0" fillId="0" borderId="0" xfId="2" applyFont="1"/>
    <xf numFmtId="9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/>
    <xf numFmtId="44" fontId="2" fillId="2" borderId="0" xfId="3" applyNumberFormat="1"/>
    <xf numFmtId="0" fontId="3" fillId="3" borderId="1" xfId="4"/>
    <xf numFmtId="10" fontId="0" fillId="0" borderId="0" xfId="0" applyNumberFormat="1"/>
    <xf numFmtId="0" fontId="7" fillId="0" borderId="0" xfId="0" applyFont="1"/>
    <xf numFmtId="44" fontId="7" fillId="0" borderId="0" xfId="1" applyFont="1"/>
    <xf numFmtId="44" fontId="7" fillId="0" borderId="0" xfId="0" applyNumberFormat="1" applyFont="1"/>
    <xf numFmtId="10" fontId="7" fillId="0" borderId="0" xfId="0" applyNumberFormat="1" applyFont="1"/>
    <xf numFmtId="0" fontId="4" fillId="0" borderId="0" xfId="0" applyFont="1"/>
    <xf numFmtId="0" fontId="8" fillId="0" borderId="0" xfId="0" applyFont="1"/>
    <xf numFmtId="0" fontId="9" fillId="0" borderId="0" xfId="0" applyFont="1"/>
    <xf numFmtId="9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65" fontId="0" fillId="5" borderId="0" xfId="0" applyNumberFormat="1" applyFill="1" applyAlignment="1">
      <alignment vertical="center" wrapText="1"/>
    </xf>
    <xf numFmtId="0" fontId="0" fillId="6" borderId="0" xfId="0" applyFill="1"/>
    <xf numFmtId="165" fontId="0" fillId="6" borderId="0" xfId="0" applyNumberFormat="1" applyFill="1"/>
    <xf numFmtId="0" fontId="0" fillId="5" borderId="0" xfId="0" applyFill="1"/>
    <xf numFmtId="165" fontId="0" fillId="5" borderId="0" xfId="0" applyNumberFormat="1" applyFill="1"/>
    <xf numFmtId="0" fontId="0" fillId="6" borderId="3" xfId="0" applyFill="1" applyBorder="1"/>
    <xf numFmtId="165" fontId="0" fillId="6" borderId="3" xfId="0" applyNumberFormat="1" applyFill="1" applyBorder="1"/>
    <xf numFmtId="49" fontId="0" fillId="0" borderId="0" xfId="0" applyNumberFormat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/>
    <xf numFmtId="0" fontId="0" fillId="0" borderId="4" xfId="0" applyBorder="1"/>
    <xf numFmtId="0" fontId="0" fillId="4" borderId="4" xfId="0" applyFill="1" applyBorder="1" applyAlignment="1">
      <alignment vertical="center" wrapText="1"/>
    </xf>
    <xf numFmtId="0" fontId="0" fillId="4" borderId="4" xfId="0" applyFill="1" applyBorder="1"/>
    <xf numFmtId="10" fontId="0" fillId="0" borderId="7" xfId="0" applyNumberFormat="1" applyBorder="1"/>
    <xf numFmtId="10" fontId="0" fillId="0" borderId="12" xfId="0" applyNumberFormat="1" applyBorder="1"/>
    <xf numFmtId="0" fontId="0" fillId="0" borderId="13" xfId="0" applyBorder="1"/>
    <xf numFmtId="0" fontId="0" fillId="8" borderId="4" xfId="0" applyFill="1" applyBorder="1"/>
    <xf numFmtId="44" fontId="0" fillId="0" borderId="7" xfId="0" applyNumberFormat="1" applyBorder="1"/>
    <xf numFmtId="44" fontId="0" fillId="0" borderId="0" xfId="0" applyNumberFormat="1" applyAlignment="1">
      <alignment vertical="center" wrapText="1"/>
    </xf>
    <xf numFmtId="1" fontId="0" fillId="0" borderId="0" xfId="0" applyNumberFormat="1"/>
    <xf numFmtId="0" fontId="0" fillId="9" borderId="4" xfId="0" applyFill="1" applyBorder="1"/>
    <xf numFmtId="10" fontId="7" fillId="0" borderId="7" xfId="0" applyNumberFormat="1" applyFont="1" applyBorder="1"/>
  </cellXfs>
  <cellStyles count="5">
    <cellStyle name="Calculation" xfId="4" builtinId="22"/>
    <cellStyle name="Currency" xfId="1" builtinId="4"/>
    <cellStyle name="Good" xfId="3" builtinId="26"/>
    <cellStyle name="Normal" xfId="0" builtinId="0"/>
    <cellStyle name="Percent" xfId="2" builtinId="5"/>
  </cellStyles>
  <dxfs count="61">
    <dxf>
      <font>
        <b val="0"/>
        <i/>
        <strike/>
      </font>
    </dxf>
    <dxf>
      <fill>
        <patternFill patternType="solid">
          <bgColor theme="9" tint="0.39994506668294322"/>
        </patternFill>
      </fill>
    </dxf>
    <dxf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bgColor theme="0"/>
        </patternFill>
      </fill>
    </dxf>
    <dxf>
      <numFmt numFmtId="34" formatCode="_-&quot;$&quot;* #,##0.00_-;\-&quot;$&quot;* #,##0.00_-;_-&quot;$&quot;* &quot;-&quot;??_-;_-@_-"/>
    </dxf>
    <dxf>
      <numFmt numFmtId="0" formatCode="General"/>
    </dxf>
    <dxf>
      <numFmt numFmtId="19" formatCode="d/mm/yyyy"/>
    </dxf>
    <dxf>
      <numFmt numFmtId="30" formatCode="@"/>
    </dxf>
    <dxf>
      <numFmt numFmtId="165" formatCode="&quot;$&quot;#,##0.00"/>
    </dxf>
    <dxf>
      <numFmt numFmtId="13" formatCode="0%"/>
    </dxf>
    <dxf>
      <numFmt numFmtId="165" formatCode="&quot;$&quot;#,##0.00"/>
    </dxf>
    <dxf>
      <numFmt numFmtId="165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microsoft.com/office/2011/relationships/chartColorStyle" Target="colors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3" Type="http://schemas.microsoft.com/office/2011/relationships/chartStyle" Target="style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microsoft.com/office/2011/relationships/chartColorStyle" Target="colors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3" Type="http://schemas.microsoft.com/office/2011/relationships/chartStyle" Target="style9.xml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microsoft.com/office/2011/relationships/chartColorStyle" Target="colors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3" Type="http://schemas.microsoft.com/office/2011/relationships/chartStyle" Target="style13.xml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microsoft.com/office/2011/relationships/chartColorStyle" Target="colors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lt1">
                  <a:hueOff val="0"/>
                  <a:satOff val="0"/>
                  <a:lumOff val="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B7-45A3-974A-1E16768480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B7-45A3-974A-1E1676848060}"/>
              </c:ext>
            </c:extLst>
          </c:dPt>
          <c:cat>
            <c:strRef>
              <c:f>'Example Data'!$A$20:$A$21</c:f>
              <c:strCache>
                <c:ptCount val="2"/>
                <c:pt idx="0">
                  <c:v>% Saving</c:v>
                </c:pt>
                <c:pt idx="1">
                  <c:v>%Expenses</c:v>
                </c:pt>
              </c:strCache>
            </c:strRef>
          </c:cat>
          <c:val>
            <c:numRef>
              <c:f>'Example Data'!$B$20:$B$21</c:f>
              <c:numCache>
                <c:formatCode>0%</c:formatCode>
                <c:ptCount val="2"/>
                <c:pt idx="0">
                  <c:v>0.38</c:v>
                </c:pt>
                <c:pt idx="1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4-43E6-9530-137CBEE36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lt1">
                  <a:hueOff val="0"/>
                  <a:satOff val="0"/>
                  <a:lumOff val="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61-4F2F-BCE7-135AA497FB0B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61-4F2F-BCE7-135AA497FB0B}"/>
              </c:ext>
            </c:extLst>
          </c:dPt>
          <c:cat>
            <c:strRef>
              <c:f>'Example Data'!$A$20:$A$21</c:f>
              <c:strCache>
                <c:ptCount val="2"/>
                <c:pt idx="0">
                  <c:v>% Saving</c:v>
                </c:pt>
                <c:pt idx="1">
                  <c:v>%Expenses</c:v>
                </c:pt>
              </c:strCache>
            </c:strRef>
          </c:cat>
          <c:val>
            <c:numRef>
              <c:f>'Example Data'!$B$20:$B$21</c:f>
              <c:numCache>
                <c:formatCode>0%</c:formatCode>
                <c:ptCount val="2"/>
                <c:pt idx="0">
                  <c:v>0.38</c:v>
                </c:pt>
                <c:pt idx="1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61-4F2F-BCE7-135AA497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Earned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3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CA-42DB-97BA-541A8C2A52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CA-42DB-97BA-541A8C2A52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CA-42DB-97BA-541A8C2A52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6CA-42DB-97BA-541A8C2A52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'Monthly data'!$L$3:$M$6</c:f>
              <c:multiLvlStrCache>
                <c:ptCount val="4"/>
                <c:lvl>
                  <c:pt idx="0">
                    <c:v>Teammember</c:v>
                  </c:pt>
                  <c:pt idx="1">
                    <c:v>Teammember</c:v>
                  </c:pt>
                  <c:pt idx="2">
                    <c:v>Teammember</c:v>
                  </c:pt>
                  <c:pt idx="3">
                    <c:v>Teammember</c:v>
                  </c:pt>
                </c:lvl>
                <c:lvl>
                  <c:pt idx="0">
                    <c:v>COLES</c:v>
                  </c:pt>
                  <c:pt idx="1">
                    <c:v>AMPOL</c:v>
                  </c:pt>
                  <c:pt idx="2">
                    <c:v>COLES_SPL</c:v>
                  </c:pt>
                  <c:pt idx="3">
                    <c:v>AMPOL_SPL</c:v>
                  </c:pt>
                </c:lvl>
              </c:multiLvlStrCache>
            </c:multiLvlStrRef>
          </c:cat>
          <c:val>
            <c:numRef>
              <c:f>'Monthly data'!$N$3:$N$6</c:f>
              <c:numCache>
                <c:formatCode>_("$"* #,##0.00_);_("$"* \(#,##0.00\);_("$"* "-"??_);_(@_)</c:formatCode>
                <c:ptCount val="4"/>
                <c:pt idx="0">
                  <c:v>25</c:v>
                </c:pt>
                <c:pt idx="1">
                  <c:v>31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02-4019-85C4-A2A89164B24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6CA-42DB-97BA-541A8C2A52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6CA-42DB-97BA-541A8C2A52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6CA-42DB-97BA-541A8C2A52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6CA-42DB-97BA-541A8C2A52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'Monthly data'!$L$3:$M$6</c:f>
              <c:multiLvlStrCache>
                <c:ptCount val="4"/>
                <c:lvl>
                  <c:pt idx="0">
                    <c:v>Teammember</c:v>
                  </c:pt>
                  <c:pt idx="1">
                    <c:v>Teammember</c:v>
                  </c:pt>
                  <c:pt idx="2">
                    <c:v>Teammember</c:v>
                  </c:pt>
                  <c:pt idx="3">
                    <c:v>Teammember</c:v>
                  </c:pt>
                </c:lvl>
                <c:lvl>
                  <c:pt idx="0">
                    <c:v>COLES</c:v>
                  </c:pt>
                  <c:pt idx="1">
                    <c:v>AMPOL</c:v>
                  </c:pt>
                  <c:pt idx="2">
                    <c:v>COLES_SPL</c:v>
                  </c:pt>
                  <c:pt idx="3">
                    <c:v>AMPOL_SPL</c:v>
                  </c:pt>
                </c:lvl>
              </c:multiLvlStrCache>
            </c:multiLvlStrRef>
          </c:cat>
          <c:val>
            <c:numRef>
              <c:f>'Monthly data'!$O$3:$O$6</c:f>
              <c:numCache>
                <c:formatCode>_("$"* #,##0.00_);_("$"* \(#,##0.00\);_("$"* "-"??_);_(@_)</c:formatCode>
                <c:ptCount val="4"/>
                <c:pt idx="0">
                  <c:v>625</c:v>
                </c:pt>
                <c:pt idx="1">
                  <c:v>1317.5</c:v>
                </c:pt>
                <c:pt idx="2">
                  <c:v>280</c:v>
                </c:pt>
                <c:pt idx="3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02-4019-85C4-A2A89164B24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Breakdown of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lt1">
                  <a:hueOff val="0"/>
                  <a:satOff val="0"/>
                  <a:lumOff val="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56-4D07-883C-5D0CBFCFA1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56-4D07-883C-5D0CBFCFA1B6}"/>
              </c:ext>
            </c:extLst>
          </c:dPt>
          <c:dLbls>
            <c:dLbl>
              <c:idx val="0"/>
              <c:layout>
                <c:manualLayout>
                  <c:x val="-0.15000000000000005"/>
                  <c:y val="-8.79631452318460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52A6E6-E780-4346-9B09-CA4921DF4885}" type="VALUE">
                      <a:rPr lang="en-US" sz="2000">
                        <a:solidFill>
                          <a:schemeClr val="accent1"/>
                        </a:solidFill>
                      </a:rPr>
                      <a:pPr>
                        <a:defRPr sz="2000">
                          <a:solidFill>
                            <a:schemeClr val="accent2"/>
                          </a:solidFill>
                        </a:defRPr>
                      </a:pPr>
                      <a:t>[VALUE]</a:t>
                    </a:fld>
                    <a:endParaRPr lang="en-A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68044619422572"/>
                      <c:h val="0.1388196267133274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456-4D07-883C-5D0CBFCFA1B6}"/>
                </c:ext>
              </c:extLst>
            </c:dLbl>
            <c:dLbl>
              <c:idx val="1"/>
              <c:layout>
                <c:manualLayout>
                  <c:x val="0.15555555555555556"/>
                  <c:y val="6.48148148148147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B2C1462-C56F-4DA6-9688-0193CB3F7E96}" type="VALUE">
                      <a:rPr lang="en-US" sz="2000">
                        <a:solidFill>
                          <a:schemeClr val="accent2"/>
                        </a:solidFill>
                      </a:rPr>
                      <a:pPr>
                        <a:defRPr>
                          <a:solidFill>
                            <a:schemeClr val="accent2"/>
                          </a:solidFill>
                        </a:defRPr>
                      </a:pPr>
                      <a:t>[VALUE]</a:t>
                    </a:fld>
                    <a:endParaRPr lang="en-A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68044619422572"/>
                      <c:h val="0.1573381452318460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456-4D07-883C-5D0CBFCFA1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Summary!$A$20:$A$21</c:f>
              <c:strCache>
                <c:ptCount val="2"/>
                <c:pt idx="0">
                  <c:v>% Saving</c:v>
                </c:pt>
                <c:pt idx="1">
                  <c:v>%Expenses</c:v>
                </c:pt>
              </c:strCache>
            </c:strRef>
          </c:cat>
          <c:val>
            <c:numRef>
              <c:f>Summary!$B$20:$B$21</c:f>
              <c:numCache>
                <c:formatCode>0%</c:formatCode>
                <c:ptCount val="2"/>
                <c:pt idx="0">
                  <c:v>0.50650465684902102</c:v>
                </c:pt>
                <c:pt idx="1">
                  <c:v>0.49349534315097898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56-4D07-883C-5D0CBFCFA1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Percentage Breakdown of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lt1">
                  <a:hueOff val="0"/>
                  <a:satOff val="0"/>
                  <a:lumOff val="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83-4B26-AEF8-7CFA81816B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>
                    <a:hueOff val="0"/>
                    <a:satOff val="0"/>
                    <a:lumOff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83-4B26-AEF8-7CFA81816BCF}"/>
              </c:ext>
            </c:extLst>
          </c:dPt>
          <c:dLbls>
            <c:dLbl>
              <c:idx val="0"/>
              <c:layout>
                <c:manualLayout>
                  <c:x val="0.14142876383315001"/>
                  <c:y val="-0.23166143340050516"/>
                </c:manualLayout>
              </c:layout>
              <c:tx>
                <c:rich>
                  <a:bodyPr/>
                  <a:lstStyle/>
                  <a:p>
                    <a:fld id="{E752A6E6-E780-4346-9B09-CA4921DF488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910915308860985"/>
                      <c:h val="0.1058397166319925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783-4B26-AEF8-7CFA81816BCF}"/>
                </c:ext>
              </c:extLst>
            </c:dLbl>
            <c:dLbl>
              <c:idx val="1"/>
              <c:layout>
                <c:manualLayout>
                  <c:x val="-0.15682539387338404"/>
                  <c:y val="0.1449091029152953"/>
                </c:manualLayout>
              </c:layout>
              <c:tx>
                <c:rich>
                  <a:bodyPr/>
                  <a:lstStyle/>
                  <a:p>
                    <a:fld id="{EB2C1462-C56F-4DA6-9688-0193CB3F7E96}" type="VALUE">
                      <a:rPr lang="en-US"/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68044619422572"/>
                      <c:h val="0.1573381452318460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783-4B26-AEF8-7CFA81816BCF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Summary!$A$20:$A$21</c:f>
              <c:strCache>
                <c:ptCount val="2"/>
                <c:pt idx="0">
                  <c:v>% Saving</c:v>
                </c:pt>
                <c:pt idx="1">
                  <c:v>%Expenses</c:v>
                </c:pt>
              </c:strCache>
            </c:strRef>
          </c:cat>
          <c:val>
            <c:numRef>
              <c:f>Summary!$B$20:$B$21</c:f>
              <c:numCache>
                <c:formatCode>0%</c:formatCode>
                <c:ptCount val="2"/>
                <c:pt idx="0">
                  <c:v>0.50650465684902102</c:v>
                </c:pt>
                <c:pt idx="1">
                  <c:v>0.49349534315097898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83-4B26-AEF8-7CFA81816B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 algn="ctr" rtl="0">
        <a:defRPr lang="en-US" sz="1400" b="0" i="0" u="none" strike="noStrike" baseline="0">
          <a:solidFill>
            <a:sysClr val="windowText" lastClr="000000">
              <a:lumMod val="65000"/>
              <a:lumOff val="35000"/>
            </a:sysClr>
          </a:solidFill>
          <a:latin typeface="Aptos Narrow" panose="02110004020202020204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Earned by Job Jistribution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78845393436137"/>
          <c:y val="0.22616583304445434"/>
          <c:w val="0.40070759193357058"/>
          <c:h val="0.66913583915218144"/>
        </c:manualLayout>
      </c:layout>
      <c:doughnutChart>
        <c:varyColors val="1"/>
        <c:ser>
          <c:idx val="3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DD-4266-AFC9-7D99E2FAEC44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DD-4266-AFC9-7D99E2FAEC44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DD-4266-AFC9-7D99E2FAEC4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DD-4266-AFC9-7D99E2FAEC44}"/>
              </c:ext>
            </c:extLst>
          </c:dPt>
          <c:dLbls>
            <c:dLbl>
              <c:idx val="0"/>
              <c:layout>
                <c:manualLayout>
                  <c:x val="-5.0217477263740609E-2"/>
                  <c:y val="5.0314465408805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DD-4266-AFC9-7D99E2FAEC44}"/>
                </c:ext>
              </c:extLst>
            </c:dLbl>
            <c:dLbl>
              <c:idx val="1"/>
              <c:layout>
                <c:manualLayout>
                  <c:x val="-5.5239224990114667E-2"/>
                  <c:y val="-5.0314465408805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DD-4266-AFC9-7D99E2FAEC44}"/>
                </c:ext>
              </c:extLst>
            </c:dLbl>
            <c:dLbl>
              <c:idx val="2"/>
              <c:layout>
                <c:manualLayout>
                  <c:x val="2.2597864768683276E-2"/>
                  <c:y val="-7.5471698113207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DD-4266-AFC9-7D99E2FAEC44}"/>
                </c:ext>
              </c:extLst>
            </c:dLbl>
            <c:dLbl>
              <c:idx val="3"/>
              <c:layout>
                <c:manualLayout>
                  <c:x val="5.5239224990114667E-2"/>
                  <c:y val="4.6121593291404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DD-4266-AFC9-7D99E2FAEC44}"/>
                </c:ext>
              </c:extLst>
            </c:dLbl>
            <c:numFmt formatCode="&quot;$&quot;#,##0" sourceLinked="0"/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'Monthly data'!$L$3:$M$6</c:f>
              <c:multiLvlStrCache>
                <c:ptCount val="4"/>
                <c:lvl>
                  <c:pt idx="0">
                    <c:v>Teammember</c:v>
                  </c:pt>
                  <c:pt idx="1">
                    <c:v>Teammember</c:v>
                  </c:pt>
                  <c:pt idx="2">
                    <c:v>Teammember</c:v>
                  </c:pt>
                  <c:pt idx="3">
                    <c:v>Teammember</c:v>
                  </c:pt>
                </c:lvl>
                <c:lvl>
                  <c:pt idx="0">
                    <c:v>COLES</c:v>
                  </c:pt>
                  <c:pt idx="1">
                    <c:v>AMPOL</c:v>
                  </c:pt>
                  <c:pt idx="2">
                    <c:v>COLES_SPL</c:v>
                  </c:pt>
                  <c:pt idx="3">
                    <c:v>AMPOL_SPL</c:v>
                  </c:pt>
                </c:lvl>
              </c:multiLvlStrCache>
            </c:multiLvlStrRef>
          </c:cat>
          <c:val>
            <c:numRef>
              <c:f>'Monthly data'!$N$3:$N$6</c:f>
              <c:numCache>
                <c:formatCode>_("$"* #,##0.00_);_("$"* \(#,##0.00\);_("$"* "-"??_);_(@_)</c:formatCode>
                <c:ptCount val="4"/>
                <c:pt idx="0">
                  <c:v>25</c:v>
                </c:pt>
                <c:pt idx="1">
                  <c:v>31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DD-4266-AFC9-7D99E2FAEC44}"/>
            </c:ext>
          </c:extLst>
        </c:ser>
        <c:ser>
          <c:idx val="0"/>
          <c:order val="1"/>
          <c:spPr>
            <a:ln cmpd="dbl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cmpd="dbl"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8DD-4266-AFC9-7D99E2FAEC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cmpd="dbl"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8DD-4266-AFC9-7D99E2FAEC44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cmpd="dbl"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8DD-4266-AFC9-7D99E2FAEC4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cmpd="dbl"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8DD-4266-AFC9-7D99E2FAEC44}"/>
              </c:ext>
            </c:extLst>
          </c:dPt>
          <c:dLbls>
            <c:dLbl>
              <c:idx val="0"/>
              <c:layout>
                <c:manualLayout>
                  <c:x val="8.0347963621984889E-2"/>
                  <c:y val="-8.805031446540884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8DD-4266-AFC9-7D99E2FAEC44}"/>
                </c:ext>
              </c:extLst>
            </c:dLbl>
            <c:dLbl>
              <c:idx val="1"/>
              <c:layout>
                <c:manualLayout>
                  <c:x val="0.1581850533807829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DD-4266-AFC9-7D99E2FAEC44}"/>
                </c:ext>
              </c:extLst>
            </c:dLbl>
            <c:dLbl>
              <c:idx val="2"/>
              <c:layout>
                <c:manualLayout>
                  <c:x val="-9.7924080664294186E-2"/>
                  <c:y val="7.547169811320754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8DD-4266-AFC9-7D99E2FAEC44}"/>
                </c:ext>
              </c:extLst>
            </c:dLbl>
            <c:dLbl>
              <c:idx val="3"/>
              <c:layout>
                <c:manualLayout>
                  <c:x val="-8.7880585211546056E-2"/>
                  <c:y val="-7.127882599580712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8DD-4266-AFC9-7D99E2FAEC44}"/>
                </c:ext>
              </c:extLst>
            </c:dLbl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'Monthly data'!$L$3:$M$6</c:f>
              <c:multiLvlStrCache>
                <c:ptCount val="4"/>
                <c:lvl>
                  <c:pt idx="0">
                    <c:v>Teammember</c:v>
                  </c:pt>
                  <c:pt idx="1">
                    <c:v>Teammember</c:v>
                  </c:pt>
                  <c:pt idx="2">
                    <c:v>Teammember</c:v>
                  </c:pt>
                  <c:pt idx="3">
                    <c:v>Teammember</c:v>
                  </c:pt>
                </c:lvl>
                <c:lvl>
                  <c:pt idx="0">
                    <c:v>COLES</c:v>
                  </c:pt>
                  <c:pt idx="1">
                    <c:v>AMPOL</c:v>
                  </c:pt>
                  <c:pt idx="2">
                    <c:v>COLES_SPL</c:v>
                  </c:pt>
                  <c:pt idx="3">
                    <c:v>AMPOL_SPL</c:v>
                  </c:pt>
                </c:lvl>
              </c:multiLvlStrCache>
            </c:multiLvlStrRef>
          </c:cat>
          <c:val>
            <c:numRef>
              <c:f>'Monthly data'!$O$3:$O$6</c:f>
              <c:numCache>
                <c:formatCode>_("$"* #,##0.00_);_("$"* \(#,##0.00\);_("$"* "-"??_);_(@_)</c:formatCode>
                <c:ptCount val="4"/>
                <c:pt idx="0">
                  <c:v>625</c:v>
                </c:pt>
                <c:pt idx="1">
                  <c:v>1317.5</c:v>
                </c:pt>
                <c:pt idx="2">
                  <c:v>280</c:v>
                </c:pt>
                <c:pt idx="3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8DD-4266-AFC9-7D99E2FAEC4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Running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Known 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Resources!$R$2:$R$15</c:f>
              <c:numCache>
                <c:formatCode>m/d/yyyy</c:formatCode>
                <c:ptCount val="1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45664</c:v>
                </c:pt>
                <c:pt idx="8">
                  <c:v>45665</c:v>
                </c:pt>
                <c:pt idx="9">
                  <c:v>45666</c:v>
                </c:pt>
                <c:pt idx="10">
                  <c:v>45667</c:v>
                </c:pt>
                <c:pt idx="11">
                  <c:v>45668</c:v>
                </c:pt>
                <c:pt idx="12">
                  <c:v>45669</c:v>
                </c:pt>
                <c:pt idx="13">
                  <c:v>45670</c:v>
                </c:pt>
              </c:numCache>
            </c:numRef>
          </c:cat>
          <c:val>
            <c:numRef>
              <c:f>Resources!$S$2:$S$15</c:f>
              <c:numCache>
                <c:formatCode>_("$"* #,##0.00_);_("$"* \(#,##0.00\);_("$"* "-"??_);_(@_)</c:formatCode>
                <c:ptCount val="14"/>
                <c:pt idx="0">
                  <c:v>1767.5</c:v>
                </c:pt>
                <c:pt idx="1">
                  <c:v>1722.5</c:v>
                </c:pt>
                <c:pt idx="2">
                  <c:v>1667.5</c:v>
                </c:pt>
                <c:pt idx="3">
                  <c:v>1624.5</c:v>
                </c:pt>
                <c:pt idx="4">
                  <c:v>1578.5</c:v>
                </c:pt>
                <c:pt idx="5">
                  <c:v>1530.5</c:v>
                </c:pt>
                <c:pt idx="6">
                  <c:v>1481.5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A-4C08-912E-6966DBE0E4A2}"/>
            </c:ext>
          </c:extLst>
        </c:ser>
        <c:ser>
          <c:idx val="1"/>
          <c:order val="1"/>
          <c:tx>
            <c:v>Forecasted 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Resources!$R$2:$R$15</c:f>
              <c:numCache>
                <c:formatCode>m/d/yyyy</c:formatCode>
                <c:ptCount val="1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45664</c:v>
                </c:pt>
                <c:pt idx="8">
                  <c:v>45665</c:v>
                </c:pt>
                <c:pt idx="9">
                  <c:v>45666</c:v>
                </c:pt>
                <c:pt idx="10">
                  <c:v>45667</c:v>
                </c:pt>
                <c:pt idx="11">
                  <c:v>45668</c:v>
                </c:pt>
                <c:pt idx="12">
                  <c:v>45669</c:v>
                </c:pt>
                <c:pt idx="13">
                  <c:v>45670</c:v>
                </c:pt>
              </c:numCache>
            </c:numRef>
          </c:cat>
          <c:val>
            <c:numRef>
              <c:f>Resources!$T$2:$T$15</c:f>
              <c:numCache>
                <c:formatCode>_("$"* #,##0.00_);_("$"* \(#,##0.00\);_("$"* "-"??_);_(@_)</c:formatCode>
                <c:ptCount val="14"/>
                <c:pt idx="7">
                  <c:v>1482.0357142857142</c:v>
                </c:pt>
                <c:pt idx="8">
                  <c:v>1434.5</c:v>
                </c:pt>
                <c:pt idx="9">
                  <c:v>1386.9642857142858</c:v>
                </c:pt>
                <c:pt idx="10">
                  <c:v>1339.4285714285713</c:v>
                </c:pt>
                <c:pt idx="11">
                  <c:v>1291.8928571428571</c:v>
                </c:pt>
                <c:pt idx="12">
                  <c:v>1244.3571428571427</c:v>
                </c:pt>
                <c:pt idx="13">
                  <c:v>1196.8214285714284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A-4C08-912E-6966DBE0E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12752"/>
        <c:axId val="498213712"/>
      </c:lineChart>
      <c:dateAx>
        <c:axId val="498212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3712"/>
        <c:crosses val="autoZero"/>
        <c:auto val="1"/>
        <c:lblOffset val="100"/>
        <c:baseTimeUnit val="days"/>
      </c:dateAx>
      <c:valAx>
        <c:axId val="4982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Running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Known 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Resources!$R$2:$R$15</c:f>
              <c:numCache>
                <c:formatCode>m/d/yyyy</c:formatCode>
                <c:ptCount val="1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45664</c:v>
                </c:pt>
                <c:pt idx="8">
                  <c:v>45665</c:v>
                </c:pt>
                <c:pt idx="9">
                  <c:v>45666</c:v>
                </c:pt>
                <c:pt idx="10">
                  <c:v>45667</c:v>
                </c:pt>
                <c:pt idx="11">
                  <c:v>45668</c:v>
                </c:pt>
                <c:pt idx="12">
                  <c:v>45669</c:v>
                </c:pt>
                <c:pt idx="13">
                  <c:v>45670</c:v>
                </c:pt>
              </c:numCache>
            </c:numRef>
          </c:cat>
          <c:val>
            <c:numRef>
              <c:f>Resources!$S$2:$S$15</c:f>
              <c:numCache>
                <c:formatCode>_("$"* #,##0.00_);_("$"* \(#,##0.00\);_("$"* "-"??_);_(@_)</c:formatCode>
                <c:ptCount val="14"/>
                <c:pt idx="0">
                  <c:v>1767.5</c:v>
                </c:pt>
                <c:pt idx="1">
                  <c:v>1722.5</c:v>
                </c:pt>
                <c:pt idx="2">
                  <c:v>1667.5</c:v>
                </c:pt>
                <c:pt idx="3">
                  <c:v>1624.5</c:v>
                </c:pt>
                <c:pt idx="4">
                  <c:v>1578.5</c:v>
                </c:pt>
                <c:pt idx="5">
                  <c:v>1530.5</c:v>
                </c:pt>
                <c:pt idx="6">
                  <c:v>1481.5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2-44E8-8D6B-D576AA984A36}"/>
            </c:ext>
          </c:extLst>
        </c:ser>
        <c:ser>
          <c:idx val="1"/>
          <c:order val="1"/>
          <c:tx>
            <c:v>Forecasted 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Resources!$R$2:$R$15</c:f>
              <c:numCache>
                <c:formatCode>m/d/yyyy</c:formatCode>
                <c:ptCount val="1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45664</c:v>
                </c:pt>
                <c:pt idx="8">
                  <c:v>45665</c:v>
                </c:pt>
                <c:pt idx="9">
                  <c:v>45666</c:v>
                </c:pt>
                <c:pt idx="10">
                  <c:v>45667</c:v>
                </c:pt>
                <c:pt idx="11">
                  <c:v>45668</c:v>
                </c:pt>
                <c:pt idx="12">
                  <c:v>45669</c:v>
                </c:pt>
                <c:pt idx="13">
                  <c:v>45670</c:v>
                </c:pt>
              </c:numCache>
            </c:numRef>
          </c:cat>
          <c:val>
            <c:numRef>
              <c:f>Resources!$T$2:$T$15</c:f>
              <c:numCache>
                <c:formatCode>_("$"* #,##0.00_);_("$"* \(#,##0.00\);_("$"* "-"??_);_(@_)</c:formatCode>
                <c:ptCount val="14"/>
                <c:pt idx="7">
                  <c:v>1482.0357142857142</c:v>
                </c:pt>
                <c:pt idx="8">
                  <c:v>1434.5</c:v>
                </c:pt>
                <c:pt idx="9">
                  <c:v>1386.9642857142858</c:v>
                </c:pt>
                <c:pt idx="10">
                  <c:v>1339.4285714285713</c:v>
                </c:pt>
                <c:pt idx="11">
                  <c:v>1291.8928571428571</c:v>
                </c:pt>
                <c:pt idx="12">
                  <c:v>1244.3571428571427</c:v>
                </c:pt>
                <c:pt idx="13">
                  <c:v>1196.8214285714284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92-44E8-8D6B-D576AA984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12752"/>
        <c:axId val="498213712"/>
      </c:lineChart>
      <c:dateAx>
        <c:axId val="498212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3712"/>
        <c:crosses val="autoZero"/>
        <c:auto val="1"/>
        <c:lblOffset val="100"/>
        <c:baseTimeUnit val="days"/>
      </c:dateAx>
      <c:valAx>
        <c:axId val="4982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Net Income Breakdown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Net Income Breakdown</a:t>
          </a:r>
        </a:p>
      </cx:txPr>
    </cx:title>
    <cx:plotArea>
      <cx:plotAreaRegion>
        <cx:series layoutId="waterfall" uniqueId="{D1ED9CD0-E8E1-46F1-B5A8-5749C2ED8E6D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/>
    <cx:plotArea>
      <cx:plotAreaRegion>
        <cx:plotSurface>
          <cx:spPr>
            <a:noFill/>
          </cx:spPr>
        </cx:plotSurface>
        <cx:series layoutId="funnel" uniqueId="{B614F4BA-60FE-4083-8C86-C2F208B4E99E}">
          <cx:spPr>
            <a:blipFill>
              <a:blip r:embed="rId1">
                <a:extLst>
                  <a:ext uri="{96DAC541-7B7A-43D3-8B79-37D633B846F1}">
                    <asvg:svgBlip xmlns:asvg="http://schemas.microsoft.com/office/drawing/2016/SVG/main" r:embed="rId2"/>
                  </a:ext>
                </a:extLst>
              </a:blip>
              <a:stretch>
                <a:fillRect/>
              </a:stretch>
            </a:blip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Net Income Breakdown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Net Income Breakdown</a:t>
          </a:r>
        </a:p>
      </cx:txPr>
    </cx:title>
    <cx:plotArea>
      <cx:plotAreaRegion>
        <cx:series layoutId="waterfall" uniqueId="{D1ED9CD0-E8E1-46F1-B5A8-5749C2ED8E6D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title pos="t" align="ctr" overlay="0"/>
    <cx:plotArea>
      <cx:plotAreaRegion>
        <cx:plotSurface>
          <cx:spPr>
            <a:noFill/>
          </cx:spPr>
        </cx:plotSurface>
        <cx:series layoutId="funnel" uniqueId="{B614F4BA-60FE-4083-8C86-C2F208B4E99E}">
          <cx:spPr>
            <a:blipFill>
              <a:blip r:embed="rId1">
                <a:extLst>
                  <a:ext uri="{96DAC541-7B7A-43D3-8B79-37D633B846F1}">
                    <asvg:svgBlip xmlns:asvg="http://schemas.microsoft.com/office/drawing/2016/SVG/main" r:embed="rId2"/>
                  </a:ext>
                </a:extLst>
              </a:blip>
              <a:stretch>
                <a:fillRect/>
              </a:stretch>
            </a:blip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  <cx:spPr>
    <a:solidFill>
      <a:schemeClr val="bg1"/>
    </a:solidFill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Net Income Breakdown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Net Income Breakdown</a:t>
          </a:r>
        </a:p>
      </cx:txPr>
    </cx:title>
    <cx:plotArea>
      <cx:plotAreaRegion>
        <cx:series layoutId="waterfall" uniqueId="{F67EF483-5E45-4428-A0B2-61E1BDC8A41F}">
          <cx:dataLabels>
            <cx:visibility seriesName="0" categoryName="0" value="1"/>
          </cx:dataLabels>
          <cx:dataId val="0"/>
          <cx:layoutPr>
            <cx:visibility connectorLines="1"/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_xlchart.v2.10</cx:f>
      </cx:strDim>
      <cx:numDim type="val">
        <cx:f>_xlchart.v2.11</cx:f>
      </cx:numDim>
    </cx:data>
  </cx:chartData>
  <cx:chart>
    <cx:title pos="t" align="ctr" overlay="0">
      <cx:tx>
        <cx:txData>
          <cx:v>Expense Drain</cx:v>
        </cx:txData>
      </cx:tx>
      <cx:txPr>
        <a:bodyPr vertOverflow="overflow" horzOverflow="overflow" wrap="square" lIns="0" tIns="0" rIns="0" bIns="0"/>
        <a:lstStyle/>
        <a:p>
          <a:pPr algn="ctr" rtl="0">
            <a:defRPr sz="1800" b="1" i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AU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</a:rPr>
            <a:t>Expense Drain</a:t>
          </a:r>
        </a:p>
      </cx:txPr>
    </cx:title>
    <cx:plotArea>
      <cx:plotAreaRegion>
        <cx:plotSurface>
          <cx:spPr>
            <a:noFill/>
          </cx:spPr>
        </cx:plotSurface>
        <cx:series layoutId="funnel" uniqueId="{C6CAB302-544E-49E8-A2B7-D31BFBE5EBCA}">
          <cx:tx>
            <cx:txData>
              <cx:f>_xlchart.v2.11</cx:f>
              <cx:v> $661.00   $250.00   $216.00   $100.00   $55.00   $40.00 </cx:v>
            </cx:txData>
          </cx:tx>
          <cx:spPr>
            <a:blipFill>
              <a:blip r:embed="rId1">
                <a:extLst>
                  <a:ext uri="{96DAC541-7B7A-43D3-8B79-37D633B846F1}">
                    <asvg:svgBlip xmlns:asvg="http://schemas.microsoft.com/office/drawing/2016/SVG/main" r:embed="rId2"/>
                  </a:ext>
                </a:extLst>
              </a:blip>
              <a:stretch>
                <a:fillRect/>
              </a:stretch>
            </a:blip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ysClr val="windowText" lastClr="000000">
                    <a:lumMod val="75000"/>
                    <a:lumOff val="25000"/>
                  </a:sysClr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AU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x:txPr>
      </cx:axis>
    </cx:plotArea>
  </cx:chart>
  <cx:spPr>
    <a:solidFill>
      <a:schemeClr val="bg1"/>
    </a:solidFill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Net Income Breakdown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Net Income Breakdown</a:t>
          </a:r>
        </a:p>
      </cx:txPr>
    </cx:title>
    <cx:plotArea>
      <cx:plotAreaRegion>
        <cx:series layoutId="waterfall" uniqueId="{F67EF483-5E45-4428-A0B2-61E1BDC8A41F}">
          <cx:dataLabels>
            <cx:visibility seriesName="0" categoryName="0" value="1"/>
          </cx:dataLabels>
          <cx:dataId val="0"/>
          <cx:layoutPr>
            <cx:visibility connectorLines="1"/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spPr>
    <a:ln>
      <a:solidFill>
        <a:schemeClr val="tx1"/>
      </a:solidFill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_xlchart.v2.13</cx:f>
      </cx:numDim>
    </cx:data>
  </cx:chartData>
  <cx:chart>
    <cx:title pos="t" align="ctr" overlay="0">
      <cx:tx>
        <cx:txData>
          <cx:v>Expense Drain</cx:v>
        </cx:txData>
      </cx:tx>
      <cx:txPr>
        <a:bodyPr vertOverflow="overflow" horzOverflow="overflow" wrap="square" lIns="0" tIns="0" rIns="0" bIns="0"/>
        <a:lstStyle/>
        <a:p>
          <a:pPr algn="ctr" rtl="0">
            <a:defRPr lang="en-A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A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Expense Drain</a:t>
          </a:r>
        </a:p>
      </cx:txPr>
    </cx:title>
    <cx:plotArea>
      <cx:plotAreaRegion>
        <cx:plotSurface>
          <cx:spPr>
            <a:noFill/>
            <a:ln w="25400">
              <a:solidFill>
                <a:schemeClr val="tx1">
                  <a:alpha val="99000"/>
                </a:schemeClr>
              </a:solidFill>
            </a:ln>
          </cx:spPr>
        </cx:plotSurface>
        <cx:series layoutId="funnel" uniqueId="{C6CAB302-544E-49E8-A2B7-D31BFBE5EBCA}">
          <cx:tx>
            <cx:txData>
              <cx:f>_xlchart.v2.13</cx:f>
              <cx:v> $661.00   $250.00   $216.00   $100.00   $55.00   $40.00 </cx:v>
            </cx:txData>
          </cx:tx>
          <cx:spPr>
            <a:blipFill>
              <a:blip r:embed="rId1">
                <a:extLst>
                  <a:ext uri="{96DAC541-7B7A-43D3-8B79-37D633B846F1}">
                    <asvg:svgBlip xmlns:asvg="http://schemas.microsoft.com/office/drawing/2016/SVG/main" r:embed="rId2"/>
                  </a:ext>
                </a:extLst>
              </a:blip>
              <a:stretch>
                <a:fillRect/>
              </a:stretch>
            </a:blip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en-AU" sz="14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AU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vertOverflow="overflow" horzOverflow="overflow" wrap="square" lIns="0" tIns="0" rIns="0" bIns="0"/>
          <a:lstStyle/>
          <a:p>
            <a:pPr algn="ctr" rtl="0">
              <a:defRPr lang="en-A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A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1"/>
    </a:solidFill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2" Type="http://schemas.openxmlformats.org/officeDocument/2006/relationships/chart" Target="../charts/chart5.xml"/><Relationship Id="rId1" Type="http://schemas.microsoft.com/office/2014/relationships/chartEx" Target="../charts/chartEx7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</xdr:row>
      <xdr:rowOff>76200</xdr:rowOff>
    </xdr:from>
    <xdr:to>
      <xdr:col>10</xdr:col>
      <xdr:colOff>600075</xdr:colOff>
      <xdr:row>15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94C1F12-5CC0-81F2-5C87-1D65C8BAD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2675" y="26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495300</xdr:colOff>
      <xdr:row>1</xdr:row>
      <xdr:rowOff>114300</xdr:rowOff>
    </xdr:from>
    <xdr:to>
      <xdr:col>19</xdr:col>
      <xdr:colOff>190500</xdr:colOff>
      <xdr:row>16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93682F3-4AD1-B83D-4BA9-FA2F7E0573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0" y="30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542925</xdr:colOff>
      <xdr:row>16</xdr:row>
      <xdr:rowOff>152398</xdr:rowOff>
    </xdr:from>
    <xdr:to>
      <xdr:col>19</xdr:col>
      <xdr:colOff>85724</xdr:colOff>
      <xdr:row>30</xdr:row>
      <xdr:rowOff>152397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3312588-F42D-ABA1-61F3-9C9CA6E7BE6F}"/>
            </a:ext>
          </a:extLst>
        </xdr:cNvPr>
        <xdr:cNvGrpSpPr/>
      </xdr:nvGrpSpPr>
      <xdr:grpSpPr>
        <a:xfrm>
          <a:off x="8086725" y="3200398"/>
          <a:ext cx="3809999" cy="2666999"/>
          <a:chOff x="3895725" y="4219573"/>
          <a:chExt cx="3809999" cy="2666999"/>
        </a:xfrm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86EE561D-E9AE-EF67-19A9-13BBFF2F0E36}"/>
              </a:ext>
            </a:extLst>
          </xdr:cNvPr>
          <xdr:cNvSpPr/>
        </xdr:nvSpPr>
        <xdr:spPr>
          <a:xfrm>
            <a:off x="3895725" y="4219573"/>
            <a:ext cx="3809999" cy="889001"/>
          </a:xfrm>
          <a:custGeom>
            <a:avLst/>
            <a:gdLst>
              <a:gd name="connsiteX0" fmla="*/ 0 w 3809999"/>
              <a:gd name="connsiteY0" fmla="*/ 888999 h 888999"/>
              <a:gd name="connsiteX1" fmla="*/ 635003 w 3809999"/>
              <a:gd name="connsiteY1" fmla="*/ 0 h 888999"/>
              <a:gd name="connsiteX2" fmla="*/ 3174996 w 3809999"/>
              <a:gd name="connsiteY2" fmla="*/ 0 h 888999"/>
              <a:gd name="connsiteX3" fmla="*/ 3809999 w 3809999"/>
              <a:gd name="connsiteY3" fmla="*/ 888999 h 888999"/>
              <a:gd name="connsiteX4" fmla="*/ 0 w 3809999"/>
              <a:gd name="connsiteY4" fmla="*/ 888999 h 8889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809999" h="888999">
                <a:moveTo>
                  <a:pt x="3809999" y="1"/>
                </a:moveTo>
                <a:lnTo>
                  <a:pt x="3174996" y="888998"/>
                </a:lnTo>
                <a:lnTo>
                  <a:pt x="635003" y="888998"/>
                </a:lnTo>
                <a:lnTo>
                  <a:pt x="0" y="1"/>
                </a:lnTo>
                <a:lnTo>
                  <a:pt x="3809999" y="1"/>
                </a:lnTo>
                <a:close/>
              </a:path>
            </a:pathLst>
          </a:custGeom>
          <a:solidFill>
            <a:schemeClr val="accent6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34059" tIns="67311" rIns="734061" bIns="67311" numCol="1" spcCol="1270" anchor="ctr" anchorCtr="0">
            <a:noAutofit/>
          </a:bodyPr>
          <a:lstStyle/>
          <a:p>
            <a:pPr marL="0" lvl="0" indent="0" algn="ctr" defTabSz="2355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AU" sz="5300" kern="1200"/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51F8DAA6-FBE3-669A-D6AB-C441D9F7F5EB}"/>
              </a:ext>
            </a:extLst>
          </xdr:cNvPr>
          <xdr:cNvSpPr/>
        </xdr:nvSpPr>
        <xdr:spPr>
          <a:xfrm>
            <a:off x="4530724" y="5108573"/>
            <a:ext cx="2539999" cy="889000"/>
          </a:xfrm>
          <a:custGeom>
            <a:avLst/>
            <a:gdLst>
              <a:gd name="connsiteX0" fmla="*/ 0 w 2539999"/>
              <a:gd name="connsiteY0" fmla="*/ 888999 h 888999"/>
              <a:gd name="connsiteX1" fmla="*/ 635003 w 2539999"/>
              <a:gd name="connsiteY1" fmla="*/ 0 h 888999"/>
              <a:gd name="connsiteX2" fmla="*/ 1904996 w 2539999"/>
              <a:gd name="connsiteY2" fmla="*/ 0 h 888999"/>
              <a:gd name="connsiteX3" fmla="*/ 2539999 w 2539999"/>
              <a:gd name="connsiteY3" fmla="*/ 888999 h 888999"/>
              <a:gd name="connsiteX4" fmla="*/ 0 w 2539999"/>
              <a:gd name="connsiteY4" fmla="*/ 888999 h 8889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539999" h="888999">
                <a:moveTo>
                  <a:pt x="2539999" y="1"/>
                </a:moveTo>
                <a:lnTo>
                  <a:pt x="1904996" y="888998"/>
                </a:lnTo>
                <a:lnTo>
                  <a:pt x="635003" y="888998"/>
                </a:lnTo>
                <a:lnTo>
                  <a:pt x="0" y="1"/>
                </a:lnTo>
                <a:lnTo>
                  <a:pt x="2539999" y="1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11810" tIns="67310" rIns="511810" bIns="67311" numCol="1" spcCol="1270" anchor="ctr" anchorCtr="0">
            <a:noAutofit/>
          </a:bodyPr>
          <a:lstStyle/>
          <a:p>
            <a:pPr marL="0" lvl="0" indent="0" algn="ctr" defTabSz="2355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AU" sz="5300" kern="1200"/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26D89A3F-4A16-6D11-A4F8-97700D00D664}"/>
              </a:ext>
            </a:extLst>
          </xdr:cNvPr>
          <xdr:cNvSpPr/>
        </xdr:nvSpPr>
        <xdr:spPr>
          <a:xfrm>
            <a:off x="5165723" y="5997573"/>
            <a:ext cx="1270000" cy="888999"/>
          </a:xfrm>
          <a:custGeom>
            <a:avLst/>
            <a:gdLst>
              <a:gd name="connsiteX0" fmla="*/ 0 w 1269999"/>
              <a:gd name="connsiteY0" fmla="*/ 888999 h 888999"/>
              <a:gd name="connsiteX1" fmla="*/ 635000 w 1269999"/>
              <a:gd name="connsiteY1" fmla="*/ 0 h 888999"/>
              <a:gd name="connsiteX2" fmla="*/ 635000 w 1269999"/>
              <a:gd name="connsiteY2" fmla="*/ 0 h 888999"/>
              <a:gd name="connsiteX3" fmla="*/ 1269999 w 1269999"/>
              <a:gd name="connsiteY3" fmla="*/ 888999 h 888999"/>
              <a:gd name="connsiteX4" fmla="*/ 0 w 1269999"/>
              <a:gd name="connsiteY4" fmla="*/ 888999 h 8889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69999" h="888999">
                <a:moveTo>
                  <a:pt x="1269999" y="0"/>
                </a:moveTo>
                <a:lnTo>
                  <a:pt x="634999" y="888999"/>
                </a:lnTo>
                <a:lnTo>
                  <a:pt x="634999" y="888999"/>
                </a:lnTo>
                <a:lnTo>
                  <a:pt x="0" y="0"/>
                </a:lnTo>
                <a:lnTo>
                  <a:pt x="1269999" y="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611" tIns="54610" rIns="54610" bIns="54610" numCol="1" spcCol="1270" anchor="ctr" anchorCtr="0">
            <a:noAutofit/>
          </a:bodyPr>
          <a:lstStyle/>
          <a:p>
            <a:pPr marL="0" lvl="0" indent="0" algn="ctr" defTabSz="19113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AU" sz="4300" kern="1200"/>
          </a:p>
        </xdr:txBody>
      </xdr:sp>
    </xdr:grpSp>
    <xdr:clientData/>
  </xdr:twoCellAnchor>
  <xdr:twoCellAnchor>
    <xdr:from>
      <xdr:col>4</xdr:col>
      <xdr:colOff>14287</xdr:colOff>
      <xdr:row>16</xdr:row>
      <xdr:rowOff>157162</xdr:rowOff>
    </xdr:from>
    <xdr:to>
      <xdr:col>11</xdr:col>
      <xdr:colOff>319087</xdr:colOff>
      <xdr:row>31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8270DF-B4B8-6523-DCA9-6223CBBEA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171450</xdr:rowOff>
    </xdr:from>
    <xdr:to>
      <xdr:col>7</xdr:col>
      <xdr:colOff>314325</xdr:colOff>
      <xdr:row>18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1BA7876-EF0D-4A02-AF59-A2BDD402B2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742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323850</xdr:colOff>
      <xdr:row>19</xdr:row>
      <xdr:rowOff>123825</xdr:rowOff>
    </xdr:from>
    <xdr:to>
      <xdr:col>8</xdr:col>
      <xdr:colOff>19050</xdr:colOff>
      <xdr:row>34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B651940-608F-459D-958A-7D4FCDCE69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" y="37433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180975</xdr:colOff>
      <xdr:row>3</xdr:row>
      <xdr:rowOff>142875</xdr:rowOff>
    </xdr:from>
    <xdr:to>
      <xdr:col>15</xdr:col>
      <xdr:colOff>485775</xdr:colOff>
      <xdr:row>18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A75BBE-0392-4E3C-933C-886DD1447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38101</xdr:colOff>
      <xdr:row>8</xdr:row>
      <xdr:rowOff>76200</xdr:rowOff>
    </xdr:from>
    <xdr:to>
      <xdr:col>15</xdr:col>
      <xdr:colOff>133350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F0892-402A-6A29-CE1D-46D9E1A80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19050</xdr:rowOff>
    </xdr:from>
    <xdr:to>
      <xdr:col>11</xdr:col>
      <xdr:colOff>314325</xdr:colOff>
      <xdr:row>16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F476D93-6690-4960-9CBB-4870EE78BC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38625" y="400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495300</xdr:colOff>
      <xdr:row>1</xdr:row>
      <xdr:rowOff>114300</xdr:rowOff>
    </xdr:from>
    <xdr:to>
      <xdr:col>19</xdr:col>
      <xdr:colOff>190500</xdr:colOff>
      <xdr:row>16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AC6B0F0-3A76-4B1B-A338-4059A1113D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1600" y="30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542925</xdr:colOff>
      <xdr:row>16</xdr:row>
      <xdr:rowOff>152398</xdr:rowOff>
    </xdr:from>
    <xdr:to>
      <xdr:col>19</xdr:col>
      <xdr:colOff>85724</xdr:colOff>
      <xdr:row>30</xdr:row>
      <xdr:rowOff>152397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94B57A8-12A2-4F51-AA90-A1F54BE04564}"/>
            </a:ext>
          </a:extLst>
        </xdr:cNvPr>
        <xdr:cNvGrpSpPr/>
      </xdr:nvGrpSpPr>
      <xdr:grpSpPr>
        <a:xfrm>
          <a:off x="9648825" y="3200398"/>
          <a:ext cx="3809999" cy="2666999"/>
          <a:chOff x="3895725" y="4219573"/>
          <a:chExt cx="3809999" cy="2666999"/>
        </a:xfrm>
      </xdr:grpSpPr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52D21D13-2E01-C2ED-DEA9-E5D7D81F624B}"/>
              </a:ext>
            </a:extLst>
          </xdr:cNvPr>
          <xdr:cNvSpPr/>
        </xdr:nvSpPr>
        <xdr:spPr>
          <a:xfrm>
            <a:off x="3895725" y="4219573"/>
            <a:ext cx="3809999" cy="889001"/>
          </a:xfrm>
          <a:custGeom>
            <a:avLst/>
            <a:gdLst>
              <a:gd name="connsiteX0" fmla="*/ 0 w 3809999"/>
              <a:gd name="connsiteY0" fmla="*/ 888999 h 888999"/>
              <a:gd name="connsiteX1" fmla="*/ 635003 w 3809999"/>
              <a:gd name="connsiteY1" fmla="*/ 0 h 888999"/>
              <a:gd name="connsiteX2" fmla="*/ 3174996 w 3809999"/>
              <a:gd name="connsiteY2" fmla="*/ 0 h 888999"/>
              <a:gd name="connsiteX3" fmla="*/ 3809999 w 3809999"/>
              <a:gd name="connsiteY3" fmla="*/ 888999 h 888999"/>
              <a:gd name="connsiteX4" fmla="*/ 0 w 3809999"/>
              <a:gd name="connsiteY4" fmla="*/ 888999 h 8889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809999" h="888999">
                <a:moveTo>
                  <a:pt x="3809999" y="1"/>
                </a:moveTo>
                <a:lnTo>
                  <a:pt x="3174996" y="888998"/>
                </a:lnTo>
                <a:lnTo>
                  <a:pt x="635003" y="888998"/>
                </a:lnTo>
                <a:lnTo>
                  <a:pt x="0" y="1"/>
                </a:lnTo>
                <a:lnTo>
                  <a:pt x="3809999" y="1"/>
                </a:lnTo>
                <a:close/>
              </a:path>
            </a:pathLst>
          </a:custGeom>
          <a:solidFill>
            <a:schemeClr val="accent2"/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34059" tIns="67311" rIns="734061" bIns="67311" numCol="1" spcCol="1270" anchor="ctr" anchorCtr="0">
            <a:noAutofit/>
          </a:bodyPr>
          <a:lstStyle/>
          <a:p>
            <a:pPr marL="0" lvl="0" indent="0" algn="ctr" defTabSz="2355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AU" sz="5300" kern="1200"/>
          </a:p>
        </xdr:txBody>
      </xdr:sp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FBD74066-1594-4B4D-0F5A-2D8062C21528}"/>
              </a:ext>
            </a:extLst>
          </xdr:cNvPr>
          <xdr:cNvSpPr/>
        </xdr:nvSpPr>
        <xdr:spPr>
          <a:xfrm>
            <a:off x="4530724" y="5108573"/>
            <a:ext cx="2539999" cy="889000"/>
          </a:xfrm>
          <a:custGeom>
            <a:avLst/>
            <a:gdLst>
              <a:gd name="connsiteX0" fmla="*/ 0 w 2539999"/>
              <a:gd name="connsiteY0" fmla="*/ 888999 h 888999"/>
              <a:gd name="connsiteX1" fmla="*/ 635003 w 2539999"/>
              <a:gd name="connsiteY1" fmla="*/ 0 h 888999"/>
              <a:gd name="connsiteX2" fmla="*/ 1904996 w 2539999"/>
              <a:gd name="connsiteY2" fmla="*/ 0 h 888999"/>
              <a:gd name="connsiteX3" fmla="*/ 2539999 w 2539999"/>
              <a:gd name="connsiteY3" fmla="*/ 888999 h 888999"/>
              <a:gd name="connsiteX4" fmla="*/ 0 w 2539999"/>
              <a:gd name="connsiteY4" fmla="*/ 888999 h 8889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539999" h="888999">
                <a:moveTo>
                  <a:pt x="2539999" y="1"/>
                </a:moveTo>
                <a:lnTo>
                  <a:pt x="1904996" y="888998"/>
                </a:lnTo>
                <a:lnTo>
                  <a:pt x="635003" y="888998"/>
                </a:lnTo>
                <a:lnTo>
                  <a:pt x="0" y="1"/>
                </a:lnTo>
                <a:lnTo>
                  <a:pt x="2539999" y="1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11810" tIns="67310" rIns="511810" bIns="67311" numCol="1" spcCol="1270" anchor="ctr" anchorCtr="0">
            <a:noAutofit/>
          </a:bodyPr>
          <a:lstStyle/>
          <a:p>
            <a:pPr marL="0" lvl="0" indent="0" algn="ctr" defTabSz="2355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AU" sz="5300" kern="1200"/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5ABA6B41-AD45-9E99-0E3F-A51D0A3EB913}"/>
              </a:ext>
            </a:extLst>
          </xdr:cNvPr>
          <xdr:cNvSpPr/>
        </xdr:nvSpPr>
        <xdr:spPr>
          <a:xfrm>
            <a:off x="5165723" y="5997573"/>
            <a:ext cx="1270000" cy="888999"/>
          </a:xfrm>
          <a:custGeom>
            <a:avLst/>
            <a:gdLst>
              <a:gd name="connsiteX0" fmla="*/ 0 w 1269999"/>
              <a:gd name="connsiteY0" fmla="*/ 888999 h 888999"/>
              <a:gd name="connsiteX1" fmla="*/ 635000 w 1269999"/>
              <a:gd name="connsiteY1" fmla="*/ 0 h 888999"/>
              <a:gd name="connsiteX2" fmla="*/ 635000 w 1269999"/>
              <a:gd name="connsiteY2" fmla="*/ 0 h 888999"/>
              <a:gd name="connsiteX3" fmla="*/ 1269999 w 1269999"/>
              <a:gd name="connsiteY3" fmla="*/ 888999 h 888999"/>
              <a:gd name="connsiteX4" fmla="*/ 0 w 1269999"/>
              <a:gd name="connsiteY4" fmla="*/ 888999 h 8889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69999" h="888999">
                <a:moveTo>
                  <a:pt x="1269999" y="0"/>
                </a:moveTo>
                <a:lnTo>
                  <a:pt x="634999" y="888999"/>
                </a:lnTo>
                <a:lnTo>
                  <a:pt x="634999" y="888999"/>
                </a:lnTo>
                <a:lnTo>
                  <a:pt x="0" y="0"/>
                </a:lnTo>
                <a:lnTo>
                  <a:pt x="1269999" y="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4611" tIns="54610" rIns="54610" bIns="54610" numCol="1" spcCol="1270" anchor="ctr" anchorCtr="0">
            <a:noAutofit/>
          </a:bodyPr>
          <a:lstStyle/>
          <a:p>
            <a:pPr marL="0" lvl="0" indent="0" algn="ctr" defTabSz="19113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AU" sz="4300" kern="1200"/>
          </a:p>
        </xdr:txBody>
      </xdr:sp>
    </xdr:grpSp>
    <xdr:clientData/>
  </xdr:twoCellAnchor>
  <xdr:twoCellAnchor>
    <xdr:from>
      <xdr:col>4</xdr:col>
      <xdr:colOff>14287</xdr:colOff>
      <xdr:row>16</xdr:row>
      <xdr:rowOff>157162</xdr:rowOff>
    </xdr:from>
    <xdr:to>
      <xdr:col>11</xdr:col>
      <xdr:colOff>319087</xdr:colOff>
      <xdr:row>31</xdr:row>
      <xdr:rowOff>42862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8782EB-123D-43AD-A0B5-122F4A411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314325</xdr:rowOff>
    </xdr:from>
    <xdr:to>
      <xdr:col>11</xdr:col>
      <xdr:colOff>314325</xdr:colOff>
      <xdr:row>16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5BCC6F7-75F3-4CB7-981C-DCCCA4E9A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0425" y="504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9525</xdr:colOff>
      <xdr:row>16</xdr:row>
      <xdr:rowOff>180975</xdr:rowOff>
    </xdr:from>
    <xdr:to>
      <xdr:col>9</xdr:col>
      <xdr:colOff>295274</xdr:colOff>
      <xdr:row>31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06D220-AD7A-4868-BC57-3B2C2A1FB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409575</xdr:colOff>
      <xdr:row>1</xdr:row>
      <xdr:rowOff>314326</xdr:rowOff>
    </xdr:from>
    <xdr:to>
      <xdr:col>21</xdr:col>
      <xdr:colOff>561975</xdr:colOff>
      <xdr:row>16</xdr:row>
      <xdr:rowOff>66675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311369B-01B8-477A-9A06-E45BD25E25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5" y="504826"/>
              <a:ext cx="6248400" cy="2752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409576</xdr:colOff>
      <xdr:row>16</xdr:row>
      <xdr:rowOff>180974</xdr:rowOff>
    </xdr:from>
    <xdr:to>
      <xdr:col>16</xdr:col>
      <xdr:colOff>352426</xdr:colOff>
      <xdr:row>31</xdr:row>
      <xdr:rowOff>19049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972EBD-C7BF-4A42-A2A8-C4C676EED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47625</xdr:colOff>
      <xdr:row>2</xdr:row>
      <xdr:rowOff>114300</xdr:rowOff>
    </xdr:from>
    <xdr:ext cx="614720" cy="264560"/>
    <xdr:sp macro="" textlink="Dashboard!$C$31">
      <xdr:nvSpPr>
        <xdr:cNvPr id="8" name="TextBox 7">
          <a:extLst>
            <a:ext uri="{FF2B5EF4-FFF2-40B4-BE49-F238E27FC236}">
              <a16:creationId xmlns:a16="http://schemas.microsoft.com/office/drawing/2014/main" id="{4FE10337-BDCD-9A5C-C956-661A609BE023}"/>
            </a:ext>
          </a:extLst>
        </xdr:cNvPr>
        <xdr:cNvSpPr txBox="1"/>
      </xdr:nvSpPr>
      <xdr:spPr>
        <a:xfrm>
          <a:off x="3438525" y="638175"/>
          <a:ext cx="6147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31E0FE1-7C54-44B4-9DED-D96C2518A34C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66.96%</a:t>
          </a:fld>
          <a:endParaRPr lang="en-AU" sz="1100"/>
        </a:p>
      </xdr:txBody>
    </xdr:sp>
    <xdr:clientData/>
  </xdr:oneCellAnchor>
  <xdr:twoCellAnchor>
    <xdr:from>
      <xdr:col>16</xdr:col>
      <xdr:colOff>485775</xdr:colOff>
      <xdr:row>17</xdr:row>
      <xdr:rowOff>1</xdr:rowOff>
    </xdr:from>
    <xdr:to>
      <xdr:col>21</xdr:col>
      <xdr:colOff>561975</xdr:colOff>
      <xdr:row>31</xdr:row>
      <xdr:rowOff>19051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486C5C-AD1E-4DEE-AABC-BE1946257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9</xdr:row>
      <xdr:rowOff>4762</xdr:rowOff>
    </xdr:from>
    <xdr:to>
      <xdr:col>14</xdr:col>
      <xdr:colOff>400050</xdr:colOff>
      <xdr:row>23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4FA544-96C8-4C4C-D131-C09A0A1F0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F5CDE-8232-4ACC-A080-F03BC7F7F762}" name="Monthly_Table" displayName="Monthly_Table" ref="A1:H15" totalsRowShown="0">
  <autoFilter ref="A1:H15" xr:uid="{2DBF5CDE-8232-4ACC-A080-F03BC7F7F762}"/>
  <tableColumns count="8">
    <tableColumn id="1" xr3:uid="{1E7B1DEC-9EA2-416B-B700-C06A88CF2A06}" name="Date" dataDxfId="60"/>
    <tableColumn id="10" xr3:uid="{D32831EB-E226-4522-A1F9-312A06D19BA2}" name="Day" dataDxfId="59">
      <calculatedColumnFormula>TEXT(Monthly_Table[[#This Row],[Date]],"ddd")</calculatedColumnFormula>
    </tableColumn>
    <tableColumn id="2" xr3:uid="{043D7213-5B3C-4998-B240-4C1D5FE49445}" name="start_time" dataDxfId="58"/>
    <tableColumn id="7" xr3:uid="{2F218683-4819-4859-B129-4317BC25272A}" name="end_time" dataDxfId="57"/>
    <tableColumn id="3" xr3:uid="{A9E8CB3C-9ACE-4351-95D1-1668AC7CA4D4}" name="Total_time_worked" dataDxfId="56">
      <calculatedColumnFormula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calculatedColumnFormula>
    </tableColumn>
    <tableColumn id="9" xr3:uid="{B1A65E97-D0CF-4B7E-A78E-1DDAF72D06EC}" name="organization " dataDxfId="55"/>
    <tableColumn id="8" xr3:uid="{0142C281-D1D1-407B-9BF0-40ABAB682398}" name="Money_Earned" dataDxfId="54">
      <calculatedColumnFormula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calculatedColumnFormula>
    </tableColumn>
    <tableColumn id="6" xr3:uid="{C7C9D368-7E14-44CB-940E-0FA280A54BE2}" name="Comme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E56E7-3CA8-4D4D-BDD8-D0E6273E88C0}" name="Rate_Table" displayName="Rate_Table" ref="L2:O6" totalsRowShown="0">
  <autoFilter ref="L2:O6" xr:uid="{B80E56E7-3CA8-4D4D-BDD8-D0E6273E88C0}"/>
  <tableColumns count="4">
    <tableColumn id="1" xr3:uid="{A4432FBD-931C-4FE1-BCB5-3E1641364413}" name="Organization"/>
    <tableColumn id="2" xr3:uid="{B7978134-1681-4B7B-A25D-8F023F73934D}" name="Role"/>
    <tableColumn id="3" xr3:uid="{12BB0B20-5726-4E7A-9C5A-08F877591276}" name="Rate" dataDxfId="53"/>
    <tableColumn id="4" xr3:uid="{E2E07234-67AB-4AC4-8106-1C61AADAE9A9}" name="Total_Earned" dataDxfId="52">
      <calculatedColumnFormula>IFERROR(SUMIFS(Monthly_Table[Money_Earned], Monthly_Table[[organization ]], Rate_Table[[#This Row],[Organization]]), 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2692CD-8F44-4605-B003-397053CBEE31}" name="Txn_table" displayName="Txn_table" ref="A1:I24" headerRowDxfId="51" dataDxfId="50">
  <autoFilter ref="A1:I24" xr:uid="{222692CD-8F44-4605-B003-397053CBEE31}"/>
  <tableColumns count="9">
    <tableColumn id="1" xr3:uid="{739B497F-920C-40DF-B70F-397AB5752774}" name="Date" totalsRowLabel="Total" dataDxfId="49" totalsRowDxfId="48"/>
    <tableColumn id="8" xr3:uid="{7894C7D4-5F4F-4EE2-8963-5DF5FFA18728}" name="Day" dataDxfId="47" totalsRowDxfId="46">
      <calculatedColumnFormula>IF(ISNUMBER(Txn_table[[#This Row],[Date]]),(TEXT(Txn_table[[#This Row],[Date]],"ddd")),"Date Required!")</calculatedColumnFormula>
    </tableColumn>
    <tableColumn id="2" xr3:uid="{B01B5AD1-7492-412A-A3E1-6328EAE8A525}" name="Category" dataDxfId="45" totalsRowDxfId="44"/>
    <tableColumn id="3" xr3:uid="{E041254A-015E-4129-B205-08D289A5099E}" name="Type (Income/Expense)" dataDxfId="43" totalsRowDxfId="42"/>
    <tableColumn id="4" xr3:uid="{3C720FE7-EA9B-4AE9-AA7E-C21E135C5A27}" name="Account" dataDxfId="41" totalsRowDxfId="40"/>
    <tableColumn id="5" xr3:uid="{43E1E453-EA3E-4432-B3C5-5FAE38CAA096}" name="Amount" dataDxfId="39"/>
    <tableColumn id="6" xr3:uid="{C32CC787-7DC2-4A5C-AD11-513F7BDAD512}" name="Notes" dataDxfId="38" totalsRowDxfId="37"/>
    <tableColumn id="7" xr3:uid="{63A716BE-4DEF-4DD6-8EEC-F696ACD97BDB}" name="Tags" totalsRowFunction="count" dataDxfId="36" totalsRowDxfId="35"/>
    <tableColumn id="9" xr3:uid="{E9AE2756-CFBD-4501-8A75-2E4B21B6E08C}" name="Balance" dataDxfId="34" totalsRowDxfId="33">
      <calculatedColumnFormula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calculatedColumnFormula>
    </tableColumn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3C84BE-D0A2-4E08-9FCC-6D1CFE468955}" name="Table10" displayName="Table10" ref="A3:B9" totalsRowShown="0">
  <autoFilter ref="A3:B9" xr:uid="{F73C84BE-D0A2-4E08-9FCC-6D1CFE468955}"/>
  <tableColumns count="2">
    <tableColumn id="1" xr3:uid="{9B9656A0-FE8A-4039-BD6F-A120622E7893}" name="Income"/>
    <tableColumn id="2" xr3:uid="{D432EBB1-2419-4436-844A-9E4C5F2E6947}" name="Amount" dataDxfId="32" dataCellStyle="Currency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060E2F-B197-4B7C-86BC-C697C5A4EE4E}" name="Table11" displayName="Table11" ref="A11:C17" totalsRowShown="0">
  <autoFilter ref="A11:C17" xr:uid="{06060E2F-B197-4B7C-86BC-C697C5A4EE4E}"/>
  <sortState xmlns:xlrd2="http://schemas.microsoft.com/office/spreadsheetml/2017/richdata2" ref="A12:C17">
    <sortCondition descending="1" ref="B11:B17"/>
  </sortState>
  <tableColumns count="3">
    <tableColumn id="1" xr3:uid="{08910B96-56F4-4887-A307-3F11096DC43D}" name="Expense"/>
    <tableColumn id="2" xr3:uid="{EFCF6D9F-D72E-4CD3-930B-CEB3D3C8E288}" name="Amount" dataDxfId="31" dataCellStyle="Currency">
      <calculatedColumnFormula>VALUE(Table11[[#This Row],[Formulated Answers]])</calculatedColumnFormula>
    </tableColumn>
    <tableColumn id="3" xr3:uid="{2D2B139E-7A90-48B8-9628-F94B86EF6964}" name="Formulated Answers" dataDxfId="30" dataCellStyle="Currency">
      <calculatedColumnFormula>IFERROR(VALUE(SUMIFS(Txn_table[Amount], Txn_table[Category], Summary!B12)), 0)</calculatedColumnFormula>
    </tableColumn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C507C8C-4F9E-4CA2-B029-99A122075F1C}" name="Budget" displayName="Budget" ref="B3:F8" totalsRowShown="0" headerRowDxfId="29" dataDxfId="28">
  <autoFilter ref="B3:F8" xr:uid="{7C507C8C-4F9E-4CA2-B029-99A122075F1C}"/>
  <tableColumns count="5">
    <tableColumn id="1" xr3:uid="{F4891A28-4CDC-48BF-9E27-8C0414A26FF2}" name="Category" dataDxfId="27"/>
    <tableColumn id="3" xr3:uid="{B8C817EC-B75E-43FC-9DE6-E52EB00B2648}" name="Budget" dataDxfId="26"/>
    <tableColumn id="4" xr3:uid="{8B071BBA-7C08-46ED-B719-B26BB7424820}" name="Actual" dataDxfId="25" dataCellStyle="Currency">
      <calculatedColumnFormula>VALUE(Summary!B13)</calculatedColumnFormula>
    </tableColumn>
    <tableColumn id="5" xr3:uid="{3A1D4153-03C8-43B6-896C-0370AA3AE8BA}" name="Variance" dataDxfId="24">
      <calculatedColumnFormula>Budget[[#This Row],[Actual]]-Budget[[#This Row],[Budget]]</calculatedColumnFormula>
    </tableColumn>
    <tableColumn id="6" xr3:uid="{F7DAE488-5E5D-47D5-A1D2-01768EA1670F}" name="%_Variance" dataDxfId="23">
      <calculatedColumnFormula>Budget[[#This Row],[Variance]]/Budget[[#This Row],[Budget]]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1C29754-7781-4B79-8FB4-FF4CE5BAF75E}" name="Goal_todo" displayName="Goal_todo" ref="B11:J17" totalsRowShown="0" headerRowDxfId="22">
  <autoFilter ref="B11:J17" xr:uid="{B1C29754-7781-4B79-8FB4-FF4CE5BAF75E}"/>
  <tableColumns count="9">
    <tableColumn id="1" xr3:uid="{CF677C2C-13EC-47F2-8435-3C1FE534E21F}" name="Goal"/>
    <tableColumn id="2" xr3:uid="{E2A7735A-3E1E-4724-A95A-EE4B7838280A}" name="Target Amount" dataDxfId="21"/>
    <tableColumn id="3" xr3:uid="{7C1F0F4D-631C-4251-85AB-043CD90B18BD}" name="Current Savings" dataDxfId="20">
      <calculatedColumnFormula>IF(ISNUMBER(Goal_todo[[#This Row],[Target Amount]]),VALUE(net_profit),)</calculatedColumnFormula>
    </tableColumn>
    <tableColumn id="4" xr3:uid="{0834DC22-1D2C-49B1-A1A5-724A63DC265A}" name="% Achieved" dataDxfId="19">
      <calculatedColumnFormula>VALUE((Goal_todo[[#This Row],[Current Savings]]-Goal_todo[[#This Row],[Target Amount]])/100)</calculatedColumnFormula>
    </tableColumn>
    <tableColumn id="5" xr3:uid="{409C51C2-078A-419A-BC2A-6B9EF780CD64}" name="$ to go" dataDxfId="18">
      <calculatedColumnFormula>IF(AND(ISNUMBER(Goal_todo[[#This Row],[Target Amount]]), ISNUMBER(Goal_todo[[#This Row],[Current Savings]])), MAX(Goal_todo[[#This Row],[Target Amount]] - Goal_todo[[#This Row],[Current Savings]], 0), "")</calculatedColumnFormula>
    </tableColumn>
    <tableColumn id="6" xr3:uid="{78656B3D-2FD5-484E-815D-207B951D54AE}" name="Priority" dataDxfId="17"/>
    <tableColumn id="7" xr3:uid="{9A3D51B2-63E4-4090-BCF9-B1C3AB98CA3B}" name="DeadLine" dataDxfId="16"/>
    <tableColumn id="8" xr3:uid="{D2EEFA6C-CFDD-417B-B5CF-30622A32A892}" name="Total Month Left" dataDxfId="15">
      <calculatedColumnFormula>IF(ISNUMBER(Goal_todo[[#This Row],[DeadLine]]),DATEDIF(TODAY(), Goal_todo[[#This Row],[DeadLine]], "m"),)</calculatedColumnFormula>
    </tableColumn>
    <tableColumn id="9" xr3:uid="{A336B805-6D22-4342-A88C-FFBB84B14F5F}" name="Monthly Goal" dataDxfId="14">
      <calculatedColumnFormula>IF(Goal_todo[[#This Row],[Current Savings]]&lt;Goal_todo[[#This Row],[Target Amount]], ROUND((Goal_todo[[#This Row],[Target Amount]]-Goal_todo[[#This Row],[Current Savings]])/DATEDIF(TODAY(),Goal_todo[[#This Row],[DeadLine]],"m"), 2), 0)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7C1639-2DB1-42BD-8464-5BF864968DD6}" name="Goal_done" displayName="Goal_done" ref="B21:D27" totalsRowShown="0">
  <autoFilter ref="B21:D27" xr:uid="{4B7C1639-2DB1-42BD-8464-5BF864968DD6}"/>
  <tableColumns count="3">
    <tableColumn id="1" xr3:uid="{BF0C2416-74EB-4923-8C02-BDE2632C4349}" name="Date"/>
    <tableColumn id="2" xr3:uid="{FADADFDC-4346-430D-AFEC-CD72DD0055AE}" name="Goal" dataDxfId="13"/>
    <tableColumn id="3" xr3:uid="{009FC541-3C58-4333-A3D1-D0D7A6CEC60C}" name="Amount" dataDxfId="1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E5308F-A0AF-416A-A7E0-8D6FFEAB4617}" name="Liabilities_Table" displayName="Liabilities_Table" ref="B14:C19" totalsRowShown="0">
  <autoFilter ref="B14:C19" xr:uid="{76E5308F-A0AF-416A-A7E0-8D6FFEAB4617}"/>
  <tableColumns count="2">
    <tableColumn id="1" xr3:uid="{F9FE50BC-BDDF-4D2C-BDCF-7F56AAEF8AB9}" name="Liabilities"/>
    <tableColumn id="2" xr3:uid="{01B5BE2C-4687-42F6-83BF-884FCD6409AB}" name="Amount" dataDxfId="1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BD1E66F-8E82-416C-B5B6-2986FD543A57}" name="Asset_table" displayName="Asset_table" ref="B8:C12" totalsRowShown="0" headerRowDxfId="10" dataDxfId="9">
  <autoFilter ref="B8:C12" xr:uid="{FBD1E66F-8E82-416C-B5B6-2986FD543A57}"/>
  <tableColumns count="2">
    <tableColumn id="1" xr3:uid="{5A0C8994-B7C3-4C49-B006-598194E51789}" name="Assets" dataDxfId="8"/>
    <tableColumn id="2" xr3:uid="{95657AED-304E-4B52-B6B1-4F2AAC8A632B}" name="Amount" dataDxfId="7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F329A5-DA96-43C6-BE91-3C2F31EE944B}" name="Categories_Table" displayName="Categories_Table" ref="A1:B8" totalsRowShown="0" headerRowDxfId="6" dataDxfId="5">
  <autoFilter ref="A1:B8" xr:uid="{6AF329A5-DA96-43C6-BE91-3C2F31EE944B}"/>
  <tableColumns count="2">
    <tableColumn id="1" xr3:uid="{253D5DD4-8B7E-4B88-88AD-1B8752434EAD}" name="Category" dataDxfId="4"/>
    <tableColumn id="2" xr3:uid="{A1C472B2-B5EA-4357-A27F-C5D098BF3188}" name="Type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6"/>
        </a:solidFill>
      </a:spPr>
      <a:bodyPr spcFirstLastPara="0" vert="horz" wrap="square" lIns="734059" tIns="67311" rIns="734061" bIns="67311" numCol="1" spcCol="1270" anchor="ctr" anchorCtr="0">
        <a:noAutofit/>
      </a:bodyPr>
      <a:lstStyle>
        <a:defPPr marL="0" indent="0" algn="ctr" defTabSz="2355850">
          <a:lnSpc>
            <a:spcPct val="90000"/>
          </a:lnSpc>
          <a:spcBef>
            <a:spcPct val="0"/>
          </a:spcBef>
          <a:spcAft>
            <a:spcPct val="35000"/>
          </a:spcAft>
          <a:buNone/>
          <a:defRPr sz="5300" kern="1200"/>
        </a:defPPr>
      </a:lstStyle>
      <a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9177-D975-42C5-AC3D-A36B67BD82D5}">
  <dimension ref="A1:D21"/>
  <sheetViews>
    <sheetView workbookViewId="0">
      <selection activeCell="B21" sqref="B21"/>
    </sheetView>
  </sheetViews>
  <sheetFormatPr defaultRowHeight="15" x14ac:dyDescent="0.25"/>
  <cols>
    <col min="2" max="2" width="12.5703125" bestFit="1" customWidth="1"/>
  </cols>
  <sheetData>
    <row r="1" spans="1:4" x14ac:dyDescent="0.25">
      <c r="D1" t="s">
        <v>0</v>
      </c>
    </row>
    <row r="3" spans="1:4" x14ac:dyDescent="0.25">
      <c r="A3" t="s">
        <v>1</v>
      </c>
    </row>
    <row r="4" spans="1:4" x14ac:dyDescent="0.25">
      <c r="A4" t="s">
        <v>2</v>
      </c>
      <c r="B4" s="1">
        <v>100000</v>
      </c>
      <c r="C4" t="e">
        <f t="shared" ref="C4:C9" ca="1" si="0">_xlfn.FORMULATEXT(B4)</f>
        <v>#N/A</v>
      </c>
    </row>
    <row r="5" spans="1:4" x14ac:dyDescent="0.25">
      <c r="A5" t="s">
        <v>3</v>
      </c>
      <c r="B5" s="1">
        <f>-15%*B4</f>
        <v>-15000</v>
      </c>
      <c r="C5" t="str">
        <f t="shared" ca="1" si="0"/>
        <v>=-15%*B4</v>
      </c>
    </row>
    <row r="6" spans="1:4" x14ac:dyDescent="0.25">
      <c r="A6" t="s">
        <v>4</v>
      </c>
      <c r="B6" s="1">
        <f>-11%*B4</f>
        <v>-11000</v>
      </c>
      <c r="C6" t="str">
        <f t="shared" ca="1" si="0"/>
        <v>=-11%*B4</v>
      </c>
    </row>
    <row r="7" spans="1:4" x14ac:dyDescent="0.25">
      <c r="A7" t="s">
        <v>5</v>
      </c>
      <c r="B7" s="1">
        <f>-8%*B4</f>
        <v>-8000</v>
      </c>
      <c r="C7" t="str">
        <f t="shared" ca="1" si="0"/>
        <v>=-8%*B4</v>
      </c>
    </row>
    <row r="8" spans="1:4" x14ac:dyDescent="0.25">
      <c r="A8" t="s">
        <v>6</v>
      </c>
      <c r="B8" s="1">
        <f>5%*B4</f>
        <v>5000</v>
      </c>
      <c r="C8" t="str">
        <f t="shared" ca="1" si="0"/>
        <v>=5%*B4</v>
      </c>
    </row>
    <row r="9" spans="1:4" x14ac:dyDescent="0.25">
      <c r="A9" t="s">
        <v>7</v>
      </c>
      <c r="B9" s="1">
        <f>SUM(B4:B8)</f>
        <v>71000</v>
      </c>
      <c r="C9" t="str">
        <f t="shared" ca="1" si="0"/>
        <v>=SUM(B4:B8)</v>
      </c>
    </row>
    <row r="10" spans="1:4" x14ac:dyDescent="0.25">
      <c r="B10" s="1"/>
    </row>
    <row r="11" spans="1:4" x14ac:dyDescent="0.25">
      <c r="A11" t="s">
        <v>8</v>
      </c>
      <c r="B11" s="1"/>
    </row>
    <row r="12" spans="1:4" x14ac:dyDescent="0.25">
      <c r="A12" t="s">
        <v>16</v>
      </c>
      <c r="B12" s="1">
        <f>SUM(B13:B17)</f>
        <v>43400</v>
      </c>
    </row>
    <row r="13" spans="1:4" x14ac:dyDescent="0.25">
      <c r="A13" t="s">
        <v>10</v>
      </c>
      <c r="B13" s="1">
        <v>24000</v>
      </c>
    </row>
    <row r="14" spans="1:4" x14ac:dyDescent="0.25">
      <c r="A14" t="s">
        <v>9</v>
      </c>
      <c r="B14" s="1">
        <v>14400</v>
      </c>
    </row>
    <row r="15" spans="1:4" x14ac:dyDescent="0.25">
      <c r="A15" t="s">
        <v>13</v>
      </c>
      <c r="B15" s="1">
        <v>3000</v>
      </c>
    </row>
    <row r="16" spans="1:4" x14ac:dyDescent="0.25">
      <c r="A16" t="s">
        <v>11</v>
      </c>
      <c r="B16" s="1">
        <v>1000</v>
      </c>
    </row>
    <row r="17" spans="1:2" x14ac:dyDescent="0.25">
      <c r="A17" t="s">
        <v>12</v>
      </c>
      <c r="B17" s="1">
        <v>1000</v>
      </c>
    </row>
    <row r="18" spans="1:2" x14ac:dyDescent="0.25">
      <c r="B18" s="1"/>
    </row>
    <row r="19" spans="1:2" x14ac:dyDescent="0.25">
      <c r="A19" t="s">
        <v>14</v>
      </c>
      <c r="B19" s="1">
        <f>B9-B17</f>
        <v>70000</v>
      </c>
    </row>
    <row r="20" spans="1:2" x14ac:dyDescent="0.25">
      <c r="A20" t="s">
        <v>15</v>
      </c>
      <c r="B20" s="2">
        <f>(1-B12/B19)</f>
        <v>0.38</v>
      </c>
    </row>
    <row r="21" spans="1:2" x14ac:dyDescent="0.25">
      <c r="A21" t="s">
        <v>17</v>
      </c>
      <c r="B21" s="3">
        <f>1-B20</f>
        <v>0.62</v>
      </c>
    </row>
  </sheetData>
  <sortState xmlns:xlrd2="http://schemas.microsoft.com/office/spreadsheetml/2017/richdata2" ref="A13:B17">
    <sortCondition descending="1" ref="B13:B1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0FE4-C1EB-4C91-9FDF-F4012B4380E5}">
  <dimension ref="D2"/>
  <sheetViews>
    <sheetView workbookViewId="0">
      <selection activeCell="L22" sqref="L22"/>
    </sheetView>
  </sheetViews>
  <sheetFormatPr defaultRowHeight="15" x14ac:dyDescent="0.25"/>
  <sheetData>
    <row r="2" spans="4:4" x14ac:dyDescent="0.25">
      <c r="D2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50FC-B86A-406F-A5B2-56ECADA029C9}">
  <sheetPr>
    <tabColor theme="6" tint="0.59999389629810485"/>
  </sheetPr>
  <dimension ref="A1:R15"/>
  <sheetViews>
    <sheetView topLeftCell="B1" workbookViewId="0">
      <selection activeCell="H1" sqref="B1:H1"/>
    </sheetView>
  </sheetViews>
  <sheetFormatPr defaultRowHeight="15" x14ac:dyDescent="0.25"/>
  <cols>
    <col min="1" max="1" width="9.42578125" bestFit="1" customWidth="1"/>
    <col min="2" max="2" width="9.42578125" customWidth="1"/>
    <col min="3" max="4" width="11.42578125" customWidth="1"/>
    <col min="5" max="6" width="17.85546875" customWidth="1"/>
    <col min="7" max="7" width="25.28515625" customWidth="1"/>
    <col min="8" max="8" width="19" customWidth="1"/>
    <col min="10" max="10" width="11.28515625" bestFit="1" customWidth="1"/>
    <col min="12" max="12" width="14.5703125" customWidth="1"/>
    <col min="13" max="13" width="13.28515625" bestFit="1" customWidth="1"/>
    <col min="15" max="15" width="13" customWidth="1"/>
    <col min="17" max="17" width="9.7109375" customWidth="1"/>
    <col min="18" max="18" width="12" customWidth="1"/>
  </cols>
  <sheetData>
    <row r="1" spans="1:18" x14ac:dyDescent="0.25">
      <c r="A1" t="s">
        <v>18</v>
      </c>
      <c r="B1" t="s">
        <v>49</v>
      </c>
      <c r="C1" t="s">
        <v>29</v>
      </c>
      <c r="D1" t="s">
        <v>30</v>
      </c>
      <c r="E1" t="s">
        <v>28</v>
      </c>
      <c r="F1" t="s">
        <v>19</v>
      </c>
      <c r="G1" t="s">
        <v>31</v>
      </c>
      <c r="H1" t="s">
        <v>22</v>
      </c>
      <c r="L1" t="s">
        <v>20</v>
      </c>
    </row>
    <row r="2" spans="1:18" x14ac:dyDescent="0.25">
      <c r="A2" s="4">
        <v>45658</v>
      </c>
      <c r="B2" s="4" t="str">
        <f>TEXT(Monthly_Table[[#This Row],[Date]],"ddd")</f>
        <v>Wed</v>
      </c>
      <c r="C2" s="5">
        <v>0.375</v>
      </c>
      <c r="D2" s="5">
        <v>0.72916666666666663</v>
      </c>
      <c r="E2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8.5</v>
      </c>
      <c r="F2" t="s">
        <v>26</v>
      </c>
      <c r="G2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263.5</v>
      </c>
      <c r="H2" t="s">
        <v>33</v>
      </c>
      <c r="L2" t="s">
        <v>21</v>
      </c>
      <c r="M2" t="s">
        <v>23</v>
      </c>
      <c r="N2" t="s">
        <v>24</v>
      </c>
      <c r="O2" t="s">
        <v>32</v>
      </c>
    </row>
    <row r="3" spans="1:18" x14ac:dyDescent="0.25">
      <c r="A3" s="4">
        <v>45658</v>
      </c>
      <c r="B3" s="4" t="str">
        <f>TEXT(Monthly_Table[[#This Row],[Date]],"ddd")</f>
        <v>Wed</v>
      </c>
      <c r="C3" s="5">
        <v>0.75</v>
      </c>
      <c r="D3" s="5">
        <v>0.95833333333333337</v>
      </c>
      <c r="E3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5.0000000000000009</v>
      </c>
      <c r="F3" t="s">
        <v>27</v>
      </c>
      <c r="G3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125</v>
      </c>
      <c r="L3" t="s">
        <v>27</v>
      </c>
      <c r="M3" t="s">
        <v>25</v>
      </c>
      <c r="N3" s="10">
        <v>25</v>
      </c>
      <c r="O3" s="10">
        <f>IFERROR(SUMIFS(Monthly_Table[Money_Earned], Monthly_Table[[organization ]], Rate_Table[[#This Row],[Organization]]), 0)</f>
        <v>625</v>
      </c>
      <c r="Q3" s="12" t="str" cm="1">
        <f t="array" ref="Q3:Q4">_xlfn.UNIQUE(IFERROR(LEFT(Rate_Table[Organization],FIND("_",Rate_Table[Organization])-1),Rate_Table[Organization]))</f>
        <v>COLES</v>
      </c>
      <c r="R3" s="11" cm="1">
        <f t="array" ref="R3:R4">IFERROR(SUMIFS(Rate_Table[Total_Earned], Rate_Table[Organization],_xlfn.ANCHORARRAY( Q3)), 0)</f>
        <v>625</v>
      </c>
    </row>
    <row r="4" spans="1:18" x14ac:dyDescent="0.25">
      <c r="A4" s="4">
        <v>45659</v>
      </c>
      <c r="B4" s="4" t="str">
        <f>TEXT(Monthly_Table[[#This Row],[Date]],"ddd")</f>
        <v>Thu</v>
      </c>
      <c r="C4" s="5">
        <v>0.375</v>
      </c>
      <c r="D4" s="5">
        <v>0.72916666666666663</v>
      </c>
      <c r="E4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8.5</v>
      </c>
      <c r="F4" t="s">
        <v>26</v>
      </c>
      <c r="G4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263.5</v>
      </c>
      <c r="L4" t="s">
        <v>26</v>
      </c>
      <c r="M4" t="s">
        <v>25</v>
      </c>
      <c r="N4" s="10">
        <v>31</v>
      </c>
      <c r="O4" s="10">
        <f>IFERROR(SUMIFS(Monthly_Table[Money_Earned], Monthly_Table[[organization ]], Rate_Table[[#This Row],[Organization]]), 0)</f>
        <v>1317.5</v>
      </c>
      <c r="Q4" s="12" t="str">
        <v>AMPOL</v>
      </c>
      <c r="R4" s="11">
        <v>1317.5</v>
      </c>
    </row>
    <row r="5" spans="1:18" x14ac:dyDescent="0.25">
      <c r="A5" s="4">
        <v>45659</v>
      </c>
      <c r="B5" s="4" t="str">
        <f>TEXT(Monthly_Table[[#This Row],[Date]],"ddd")</f>
        <v>Thu</v>
      </c>
      <c r="C5" s="5">
        <v>0.75</v>
      </c>
      <c r="D5" s="5">
        <v>0.95833333333333337</v>
      </c>
      <c r="E5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5.0000000000000009</v>
      </c>
      <c r="F5" t="s">
        <v>27</v>
      </c>
      <c r="G5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125</v>
      </c>
      <c r="L5" t="s">
        <v>50</v>
      </c>
      <c r="M5" t="s">
        <v>25</v>
      </c>
      <c r="N5" s="10">
        <v>28</v>
      </c>
      <c r="O5" s="10">
        <f>IFERROR(SUMIFS(Monthly_Table[Money_Earned], Monthly_Table[[organization ]], Rate_Table[[#This Row],[Organization]]), 0)</f>
        <v>280</v>
      </c>
    </row>
    <row r="6" spans="1:18" x14ac:dyDescent="0.25">
      <c r="A6" s="4">
        <v>45660</v>
      </c>
      <c r="B6" s="4" t="str">
        <f>TEXT(Monthly_Table[[#This Row],[Date]],"ddd")</f>
        <v>Fri</v>
      </c>
      <c r="C6" s="5">
        <v>0.375</v>
      </c>
      <c r="D6" s="5">
        <v>0.72916666666666663</v>
      </c>
      <c r="E6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8.5</v>
      </c>
      <c r="F6" t="s">
        <v>26</v>
      </c>
      <c r="G6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263.5</v>
      </c>
      <c r="L6" t="s">
        <v>51</v>
      </c>
      <c r="M6" t="s">
        <v>25</v>
      </c>
      <c r="N6" s="10">
        <v>35</v>
      </c>
      <c r="O6" s="10">
        <f>IFERROR(SUMIFS(Monthly_Table[Money_Earned], Monthly_Table[[organization ]], Rate_Table[[#This Row],[Organization]]), 0)</f>
        <v>595</v>
      </c>
    </row>
    <row r="7" spans="1:18" x14ac:dyDescent="0.25">
      <c r="A7" s="4">
        <v>45660</v>
      </c>
      <c r="B7" s="4" t="str">
        <f>TEXT(Monthly_Table[[#This Row],[Date]],"ddd")</f>
        <v>Fri</v>
      </c>
      <c r="C7" s="5">
        <v>0.75</v>
      </c>
      <c r="D7" s="5">
        <v>0.95833333333333337</v>
      </c>
      <c r="E7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5.0000000000000009</v>
      </c>
      <c r="F7" t="s">
        <v>27</v>
      </c>
      <c r="G7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125</v>
      </c>
    </row>
    <row r="8" spans="1:18" x14ac:dyDescent="0.25">
      <c r="A8" s="4">
        <v>45661</v>
      </c>
      <c r="B8" s="4" t="str">
        <f>TEXT(Monthly_Table[[#This Row],[Date]],"ddd")</f>
        <v>Sat</v>
      </c>
      <c r="C8" s="5">
        <v>0.375</v>
      </c>
      <c r="D8" s="5">
        <v>0.72916666666666663</v>
      </c>
      <c r="E8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8.5</v>
      </c>
      <c r="F8" t="s">
        <v>51</v>
      </c>
      <c r="G8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297.5</v>
      </c>
    </row>
    <row r="9" spans="1:18" x14ac:dyDescent="0.25">
      <c r="A9" s="4">
        <v>45661</v>
      </c>
      <c r="B9" s="4" t="str">
        <f>TEXT(Monthly_Table[[#This Row],[Date]],"ddd")</f>
        <v>Sat</v>
      </c>
      <c r="C9" s="5">
        <v>0.75</v>
      </c>
      <c r="D9" s="5">
        <v>0.95833333333333337</v>
      </c>
      <c r="E9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5.0000000000000009</v>
      </c>
      <c r="F9" t="s">
        <v>50</v>
      </c>
      <c r="G9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140</v>
      </c>
    </row>
    <row r="10" spans="1:18" x14ac:dyDescent="0.25">
      <c r="A10" s="4">
        <v>45662</v>
      </c>
      <c r="B10" s="4" t="str">
        <f>TEXT(Monthly_Table[[#This Row],[Date]],"ddd")</f>
        <v>Sun</v>
      </c>
      <c r="C10" s="5">
        <v>0.375</v>
      </c>
      <c r="D10" s="5">
        <v>0.72916666666666663</v>
      </c>
      <c r="E10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8.5</v>
      </c>
      <c r="F10" t="s">
        <v>51</v>
      </c>
      <c r="G10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297.5</v>
      </c>
    </row>
    <row r="11" spans="1:18" x14ac:dyDescent="0.25">
      <c r="A11" s="4">
        <v>45662</v>
      </c>
      <c r="B11" s="4" t="str">
        <f>TEXT(Monthly_Table[[#This Row],[Date]],"ddd")</f>
        <v>Sun</v>
      </c>
      <c r="C11" s="5">
        <v>0.75</v>
      </c>
      <c r="D11" s="5">
        <v>0.95833333333333337</v>
      </c>
      <c r="E11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5.0000000000000009</v>
      </c>
      <c r="F11" t="s">
        <v>50</v>
      </c>
      <c r="G11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140</v>
      </c>
    </row>
    <row r="12" spans="1:18" x14ac:dyDescent="0.25">
      <c r="A12" s="4">
        <v>45663</v>
      </c>
      <c r="B12" s="4" t="str">
        <f>TEXT(Monthly_Table[[#This Row],[Date]],"ddd")</f>
        <v>Mon</v>
      </c>
      <c r="C12" s="5">
        <v>0.375</v>
      </c>
      <c r="D12" s="5">
        <v>0.72916666666666663</v>
      </c>
      <c r="E12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8.5</v>
      </c>
      <c r="F12" t="s">
        <v>26</v>
      </c>
      <c r="G12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263.5</v>
      </c>
    </row>
    <row r="13" spans="1:18" x14ac:dyDescent="0.25">
      <c r="A13" s="4">
        <v>45663</v>
      </c>
      <c r="B13" s="4" t="str">
        <f>TEXT(Monthly_Table[[#This Row],[Date]],"ddd")</f>
        <v>Mon</v>
      </c>
      <c r="C13" s="5">
        <v>0.75</v>
      </c>
      <c r="D13" s="5">
        <v>0.95833333333333337</v>
      </c>
      <c r="E13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5.0000000000000009</v>
      </c>
      <c r="F13" t="s">
        <v>27</v>
      </c>
      <c r="G13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125</v>
      </c>
    </row>
    <row r="14" spans="1:18" x14ac:dyDescent="0.25">
      <c r="A14" s="4">
        <v>45664</v>
      </c>
      <c r="B14" s="4" t="str">
        <f>TEXT(Monthly_Table[[#This Row],[Date]],"ddd")</f>
        <v>Tue</v>
      </c>
      <c r="C14" s="5">
        <v>0.375</v>
      </c>
      <c r="D14" s="5">
        <v>0.72916666666666663</v>
      </c>
      <c r="E14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8.5</v>
      </c>
      <c r="F14" t="s">
        <v>26</v>
      </c>
      <c r="G14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263.5</v>
      </c>
    </row>
    <row r="15" spans="1:18" x14ac:dyDescent="0.25">
      <c r="A15" s="4">
        <v>45664</v>
      </c>
      <c r="B15" s="4" t="str">
        <f>TEXT(Monthly_Table[[#This Row],[Date]],"ddd")</f>
        <v>Tue</v>
      </c>
      <c r="C15" s="5">
        <v>0.75</v>
      </c>
      <c r="D15" s="5">
        <v>0.95833333333333337</v>
      </c>
      <c r="E15">
        <f>IF(
   AND(ISBLANK(Monthly_Table[[#This Row],[start_time]]), ISBLANK(Monthly_Table[[#This Row],[end_time]])),
   "Enter time",
   IF(
      AND(ISNUMBER(Monthly_Table[[#This Row],[start_time]]), ISNUMBER(Monthly_Table[[#This Row],[end_time]])),
      IF(
         Monthly_Table[[#This Row],[end_time]] &gt;= Monthly_Table[[#This Row],[start_time]],
         (Monthly_Table[[#This Row],[end_time]] - Monthly_Table[[#This Row],[start_time]]) * 24,
         "Error: End time before start"
      ),
      "Error: Invalid time format"
   )
)</f>
        <v>5.0000000000000009</v>
      </c>
      <c r="F15" t="s">
        <v>27</v>
      </c>
      <c r="G15" s="10">
        <f>IF(
   OR(ISBLANK(Monthly_Table[[#This Row],[Total_time_worked]]), ISBLANK(Monthly_Table[[#This Row],[organization ]])),
   "Enter time and organization",
   IF(
      AND(
         ISNUMBER(Monthly_Table[[#This Row],[Total_time_worked]]),
         ISNUMBER(VLOOKUP(Monthly_Table[[#This Row],[organization ]], Rate_Table[], 3, FALSE))
      ),
      ROUND(Monthly_Table[[#This Row],[Total_time_worked]] * VLOOKUP(Monthly_Table[[#This Row],[organization ]], Rate_Table[], 3, FALSE), 2),
      "Error: Invalid input or missing rate"
   )
)</f>
        <v>125</v>
      </c>
    </row>
  </sheetData>
  <dataValidations count="1">
    <dataValidation type="list" allowBlank="1" showInputMessage="1" showErrorMessage="1" sqref="F2:F15" xr:uid="{6B0A05EF-1E2B-4071-A7BA-2C378B793817}">
      <formula1>Orglist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5AE2-605A-4105-A09B-E8AC68473A7A}">
  <sheetPr>
    <tabColor theme="6" tint="0.59999389629810485"/>
  </sheetPr>
  <dimension ref="A1:I24"/>
  <sheetViews>
    <sheetView workbookViewId="0">
      <selection activeCell="H1" sqref="B1:H1"/>
    </sheetView>
  </sheetViews>
  <sheetFormatPr defaultRowHeight="15" x14ac:dyDescent="0.25"/>
  <cols>
    <col min="1" max="1" width="13.7109375" bestFit="1" customWidth="1"/>
    <col min="2" max="2" width="13.7109375" customWidth="1"/>
    <col min="3" max="3" width="11.28515625" customWidth="1"/>
    <col min="4" max="4" width="24.42578125" customWidth="1"/>
    <col min="5" max="5" width="10.42578125" customWidth="1"/>
    <col min="6" max="6" width="12.5703125" bestFit="1" customWidth="1"/>
    <col min="7" max="7" width="21" customWidth="1"/>
    <col min="9" max="10" width="10" bestFit="1" customWidth="1"/>
  </cols>
  <sheetData>
    <row r="1" spans="1:9" x14ac:dyDescent="0.25">
      <c r="A1" s="7" t="s">
        <v>18</v>
      </c>
      <c r="B1" s="7" t="s">
        <v>49</v>
      </c>
      <c r="C1" s="7" t="s">
        <v>34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108</v>
      </c>
    </row>
    <row r="2" spans="1:9" x14ac:dyDescent="0.25">
      <c r="A2" s="4">
        <v>45658</v>
      </c>
      <c r="B2" s="4" t="str">
        <f>IF(ISNUMBER(Txn_table[[#This Row],[Date]]),(TEXT(Txn_table[[#This Row],[Date]],"ddd")),"Date Required!")</f>
        <v>Wed</v>
      </c>
      <c r="C2" s="8" t="s">
        <v>2</v>
      </c>
      <c r="D2" s="8" t="s">
        <v>1</v>
      </c>
      <c r="E2" s="8" t="s">
        <v>43</v>
      </c>
      <c r="F2" s="11">
        <v>625</v>
      </c>
      <c r="G2" s="8" t="s">
        <v>53</v>
      </c>
      <c r="H2" s="8" t="s">
        <v>44</v>
      </c>
      <c r="I2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3" spans="1:9" x14ac:dyDescent="0.25">
      <c r="A3" s="4">
        <v>45658</v>
      </c>
      <c r="B3" s="4" t="str">
        <f>IF(ISNUMBER(Txn_table[[#This Row],[Date]]),(TEXT(Txn_table[[#This Row],[Date]],"ddd")),"Date Required!")</f>
        <v>Wed</v>
      </c>
      <c r="C3" s="8" t="s">
        <v>6</v>
      </c>
      <c r="D3" s="8" t="s">
        <v>1</v>
      </c>
      <c r="E3" s="8" t="s">
        <v>43</v>
      </c>
      <c r="F3" s="49">
        <v>100</v>
      </c>
      <c r="G3" s="8" t="s">
        <v>52</v>
      </c>
      <c r="H3" s="8" t="s">
        <v>44</v>
      </c>
      <c r="I3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4" spans="1:9" x14ac:dyDescent="0.25">
      <c r="A4" s="4">
        <v>45658</v>
      </c>
      <c r="B4" s="4" t="str">
        <f>IF(ISNUMBER(Txn_table[[#This Row],[Date]]),(TEXT(Txn_table[[#This Row],[Date]],"ddd")),"Date Required!")</f>
        <v>Wed</v>
      </c>
      <c r="C4" s="8" t="s">
        <v>2</v>
      </c>
      <c r="D4" s="8" t="s">
        <v>1</v>
      </c>
      <c r="E4" s="8" t="s">
        <v>43</v>
      </c>
      <c r="F4" s="11">
        <v>1317.5</v>
      </c>
      <c r="G4" s="8" t="s">
        <v>54</v>
      </c>
      <c r="H4" s="8" t="s">
        <v>44</v>
      </c>
      <c r="I4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5" spans="1:9" x14ac:dyDescent="0.25">
      <c r="A5" s="4">
        <v>45658</v>
      </c>
      <c r="B5" s="4" t="str">
        <f>IF(ISNUMBER(Txn_table[[#This Row],[Date]]),(TEXT(Txn_table[[#This Row],[Date]],"ddd")),"Date Required!")</f>
        <v>Wed</v>
      </c>
      <c r="C5" s="8" t="s">
        <v>6</v>
      </c>
      <c r="D5" s="8" t="s">
        <v>1</v>
      </c>
      <c r="E5" s="8" t="s">
        <v>43</v>
      </c>
      <c r="F5" s="49">
        <v>100</v>
      </c>
      <c r="G5" s="8" t="s">
        <v>52</v>
      </c>
      <c r="H5" s="8" t="s">
        <v>44</v>
      </c>
      <c r="I5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6" spans="1:9" x14ac:dyDescent="0.25">
      <c r="A6" s="4">
        <v>45658</v>
      </c>
      <c r="B6" s="4" t="str">
        <f>IF(ISNUMBER(Txn_table[[#This Row],[Date]]),(TEXT(Txn_table[[#This Row],[Date]],"ddd")),"Date Required!")</f>
        <v>Wed</v>
      </c>
      <c r="C6" s="8" t="s">
        <v>9</v>
      </c>
      <c r="D6" s="8" t="s">
        <v>8</v>
      </c>
      <c r="E6" s="8" t="s">
        <v>43</v>
      </c>
      <c r="F6" s="49">
        <v>250</v>
      </c>
      <c r="G6" s="8" t="s">
        <v>55</v>
      </c>
      <c r="H6" s="8" t="s">
        <v>45</v>
      </c>
      <c r="I6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7" spans="1:9" x14ac:dyDescent="0.25">
      <c r="A7" s="4">
        <v>45658</v>
      </c>
      <c r="B7" s="4" t="str">
        <f>IF(ISNUMBER(Txn_table[[#This Row],[Date]]),(TEXT(Txn_table[[#This Row],[Date]],"ddd")),"Date Required!")</f>
        <v>Wed</v>
      </c>
      <c r="C7" s="8" t="s">
        <v>10</v>
      </c>
      <c r="D7" s="8" t="s">
        <v>8</v>
      </c>
      <c r="E7" s="8" t="s">
        <v>46</v>
      </c>
      <c r="F7" s="49">
        <v>50</v>
      </c>
      <c r="G7" s="8" t="s">
        <v>47</v>
      </c>
      <c r="H7" s="8" t="s">
        <v>48</v>
      </c>
      <c r="I7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8" spans="1:9" x14ac:dyDescent="0.25">
      <c r="A8" s="4">
        <v>45658</v>
      </c>
      <c r="B8" s="4" t="str">
        <f>IF(ISNUMBER(Txn_table[[#This Row],[Date]]),(TEXT(Txn_table[[#This Row],[Date]],"ddd")),"Date Required!")</f>
        <v>Wed</v>
      </c>
      <c r="C8" s="8" t="s">
        <v>13</v>
      </c>
      <c r="D8" s="8" t="s">
        <v>8</v>
      </c>
      <c r="E8" s="8" t="s">
        <v>46</v>
      </c>
      <c r="F8" s="10">
        <v>20</v>
      </c>
      <c r="G8" s="8" t="s">
        <v>56</v>
      </c>
      <c r="H8" s="8" t="s">
        <v>44</v>
      </c>
      <c r="I8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9" spans="1:9" x14ac:dyDescent="0.25">
      <c r="A9" s="4">
        <v>45658</v>
      </c>
      <c r="B9" s="4" t="str">
        <f>IF(ISNUMBER(Txn_table[[#This Row],[Date]]),(TEXT(Txn_table[[#This Row],[Date]],"ddd")),"Date Required!")</f>
        <v>Wed</v>
      </c>
      <c r="C9" s="8" t="s">
        <v>12</v>
      </c>
      <c r="D9" s="8" t="s">
        <v>8</v>
      </c>
      <c r="E9" s="8" t="s">
        <v>46</v>
      </c>
      <c r="F9" s="10">
        <v>55</v>
      </c>
      <c r="G9" s="8" t="s">
        <v>12</v>
      </c>
      <c r="H9" s="8" t="s">
        <v>45</v>
      </c>
      <c r="I9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1767.5</v>
      </c>
    </row>
    <row r="10" spans="1:9" x14ac:dyDescent="0.25">
      <c r="A10" s="4">
        <v>45659</v>
      </c>
      <c r="B10" s="4" t="str">
        <f>IF(ISNUMBER(Txn_table[[#This Row],[Date]]),(TEXT(Txn_table[[#This Row],[Date]],"ddd")),"Date Required!")</f>
        <v>Thu</v>
      </c>
      <c r="C10" s="8" t="s">
        <v>10</v>
      </c>
      <c r="D10" s="8" t="s">
        <v>8</v>
      </c>
      <c r="E10" s="8" t="s">
        <v>46</v>
      </c>
      <c r="F10" s="10">
        <v>25</v>
      </c>
      <c r="G10" s="8" t="s">
        <v>10</v>
      </c>
      <c r="H10" s="8" t="s">
        <v>48</v>
      </c>
      <c r="I10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1722.5</v>
      </c>
    </row>
    <row r="11" spans="1:9" x14ac:dyDescent="0.25">
      <c r="A11" s="4">
        <v>45659</v>
      </c>
      <c r="B11" s="4" t="str">
        <f>IF(ISNUMBER(Txn_table[[#This Row],[Date]]),(TEXT(Txn_table[[#This Row],[Date]],"ddd")),"Date Required!")</f>
        <v>Thu</v>
      </c>
      <c r="C11" s="8" t="s">
        <v>13</v>
      </c>
      <c r="D11" s="8" t="s">
        <v>8</v>
      </c>
      <c r="E11" s="8" t="s">
        <v>46</v>
      </c>
      <c r="F11" s="10">
        <v>20</v>
      </c>
      <c r="G11" s="8" t="s">
        <v>13</v>
      </c>
      <c r="H11" s="8" t="s">
        <v>44</v>
      </c>
      <c r="I11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1722.5</v>
      </c>
    </row>
    <row r="12" spans="1:9" x14ac:dyDescent="0.25">
      <c r="A12" s="4">
        <v>45660</v>
      </c>
      <c r="B12" s="4" t="str">
        <f>IF(ISNUMBER(Txn_table[[#This Row],[Date]]),(TEXT(Txn_table[[#This Row],[Date]],"ddd")),"Date Required!")</f>
        <v>Fri</v>
      </c>
      <c r="C12" s="8" t="s">
        <v>10</v>
      </c>
      <c r="D12" s="8" t="s">
        <v>8</v>
      </c>
      <c r="E12" s="8" t="s">
        <v>46</v>
      </c>
      <c r="F12" s="10">
        <v>35</v>
      </c>
      <c r="G12" s="8" t="s">
        <v>10</v>
      </c>
      <c r="H12" s="8" t="s">
        <v>48</v>
      </c>
      <c r="I12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1667.5</v>
      </c>
    </row>
    <row r="13" spans="1:9" x14ac:dyDescent="0.25">
      <c r="A13" s="4">
        <v>45660</v>
      </c>
      <c r="B13" s="4" t="str">
        <f>IF(ISNUMBER(Txn_table[[#This Row],[Date]]),(TEXT(Txn_table[[#This Row],[Date]],"ddd")),"Date Required!")</f>
        <v>Fri</v>
      </c>
      <c r="C13" s="8" t="s">
        <v>13</v>
      </c>
      <c r="D13" s="8" t="s">
        <v>8</v>
      </c>
      <c r="E13" s="8" t="s">
        <v>46</v>
      </c>
      <c r="F13" s="10">
        <v>20</v>
      </c>
      <c r="G13" s="8" t="s">
        <v>13</v>
      </c>
      <c r="H13" s="8" t="s">
        <v>44</v>
      </c>
      <c r="I13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1667.5</v>
      </c>
    </row>
    <row r="14" spans="1:9" x14ac:dyDescent="0.25">
      <c r="A14" s="4">
        <v>45661</v>
      </c>
      <c r="B14" s="4" t="str">
        <f>IF(ISNUMBER(Txn_table[[#This Row],[Date]]),(TEXT(Txn_table[[#This Row],[Date]],"ddd")),"Date Required!")</f>
        <v>Sat</v>
      </c>
      <c r="C14" s="8" t="s">
        <v>10</v>
      </c>
      <c r="D14" s="8" t="s">
        <v>8</v>
      </c>
      <c r="E14" s="8" t="s">
        <v>46</v>
      </c>
      <c r="F14" s="10">
        <v>23</v>
      </c>
      <c r="G14" s="8" t="s">
        <v>10</v>
      </c>
      <c r="H14" s="8" t="s">
        <v>48</v>
      </c>
      <c r="I14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1624.5</v>
      </c>
    </row>
    <row r="15" spans="1:9" x14ac:dyDescent="0.25">
      <c r="A15" s="4">
        <v>45661</v>
      </c>
      <c r="B15" s="4" t="str">
        <f>IF(ISNUMBER(Txn_table[[#This Row],[Date]]),(TEXT(Txn_table[[#This Row],[Date]],"ddd")),"Date Required!")</f>
        <v>Sat</v>
      </c>
      <c r="C15" s="8" t="s">
        <v>11</v>
      </c>
      <c r="D15" s="8" t="s">
        <v>8</v>
      </c>
      <c r="E15" s="8" t="s">
        <v>46</v>
      </c>
      <c r="F15" s="10">
        <v>20</v>
      </c>
      <c r="G15" s="8" t="s">
        <v>57</v>
      </c>
      <c r="H15" s="8" t="s">
        <v>44</v>
      </c>
      <c r="I15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1624.5</v>
      </c>
    </row>
    <row r="16" spans="1:9" x14ac:dyDescent="0.25">
      <c r="A16" s="4">
        <v>45662</v>
      </c>
      <c r="B16" s="4" t="str">
        <f>IF(ISNUMBER(Txn_table[[#This Row],[Date]]),(TEXT(Txn_table[[#This Row],[Date]],"ddd")),"Date Required!")</f>
        <v>Sun</v>
      </c>
      <c r="C16" s="8" t="s">
        <v>10</v>
      </c>
      <c r="D16" s="8" t="s">
        <v>8</v>
      </c>
      <c r="E16" s="8" t="s">
        <v>46</v>
      </c>
      <c r="F16" s="10">
        <v>26</v>
      </c>
      <c r="G16" s="8" t="s">
        <v>10</v>
      </c>
      <c r="H16" s="8" t="s">
        <v>48</v>
      </c>
      <c r="I16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1578.5</v>
      </c>
    </row>
    <row r="17" spans="1:9" x14ac:dyDescent="0.25">
      <c r="A17" s="4">
        <v>45662</v>
      </c>
      <c r="B17" s="4" t="str">
        <f>IF(ISNUMBER(Txn_table[[#This Row],[Date]]),(TEXT(Txn_table[[#This Row],[Date]],"ddd")),"Date Required!")</f>
        <v>Sun</v>
      </c>
      <c r="C17" s="8" t="s">
        <v>11</v>
      </c>
      <c r="D17" s="8" t="s">
        <v>8</v>
      </c>
      <c r="E17" s="8" t="s">
        <v>46</v>
      </c>
      <c r="F17" s="10">
        <v>20</v>
      </c>
      <c r="G17" s="8" t="s">
        <v>57</v>
      </c>
      <c r="H17" s="8" t="s">
        <v>44</v>
      </c>
      <c r="I17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1578.5</v>
      </c>
    </row>
    <row r="18" spans="1:9" x14ac:dyDescent="0.25">
      <c r="A18" s="9">
        <v>45663</v>
      </c>
      <c r="B18" s="4" t="str">
        <f>IF(ISNUMBER(Txn_table[[#This Row],[Date]]),(TEXT(Txn_table[[#This Row],[Date]],"ddd")),"Date Required!")</f>
        <v>Mon</v>
      </c>
      <c r="C18" s="8" t="s">
        <v>10</v>
      </c>
      <c r="D18" s="8" t="s">
        <v>8</v>
      </c>
      <c r="E18" s="8" t="s">
        <v>46</v>
      </c>
      <c r="F18" s="10">
        <v>28</v>
      </c>
      <c r="G18" s="8" t="s">
        <v>10</v>
      </c>
      <c r="H18" s="8" t="s">
        <v>48</v>
      </c>
      <c r="I18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1530.5</v>
      </c>
    </row>
    <row r="19" spans="1:9" x14ac:dyDescent="0.25">
      <c r="A19" s="9">
        <v>45663</v>
      </c>
      <c r="B19" s="4" t="str">
        <f>IF(ISNUMBER(Txn_table[[#This Row],[Date]]),(TEXT(Txn_table[[#This Row],[Date]],"ddd")),"Date Required!")</f>
        <v>Mon</v>
      </c>
      <c r="C19" s="8" t="s">
        <v>13</v>
      </c>
      <c r="D19" s="8" t="s">
        <v>8</v>
      </c>
      <c r="E19" s="8" t="s">
        <v>46</v>
      </c>
      <c r="F19" s="10">
        <v>20</v>
      </c>
      <c r="G19" s="8" t="s">
        <v>13</v>
      </c>
      <c r="H19" s="8" t="s">
        <v>44</v>
      </c>
      <c r="I19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1530.5</v>
      </c>
    </row>
    <row r="20" spans="1:9" x14ac:dyDescent="0.25">
      <c r="A20" s="9">
        <v>45664</v>
      </c>
      <c r="B20" s="4" t="str">
        <f>IF(ISNUMBER(Txn_table[[#This Row],[Date]]),(TEXT(Txn_table[[#This Row],[Date]],"ddd")),"Date Required!")</f>
        <v>Tue</v>
      </c>
      <c r="C20" s="8" t="s">
        <v>10</v>
      </c>
      <c r="D20" s="8" t="s">
        <v>8</v>
      </c>
      <c r="E20" s="8" t="s">
        <v>46</v>
      </c>
      <c r="F20" s="10">
        <v>29</v>
      </c>
      <c r="G20" s="8" t="s">
        <v>10</v>
      </c>
      <c r="H20" s="8" t="s">
        <v>48</v>
      </c>
      <c r="I20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1481.5</v>
      </c>
    </row>
    <row r="21" spans="1:9" x14ac:dyDescent="0.25">
      <c r="A21" s="9">
        <v>45664</v>
      </c>
      <c r="B21" s="4" t="str">
        <f>IF(ISNUMBER(Txn_table[[#This Row],[Date]]),(TEXT(Txn_table[[#This Row],[Date]],"ddd")),"Date Required!")</f>
        <v>Tue</v>
      </c>
      <c r="C21" s="8" t="s">
        <v>13</v>
      </c>
      <c r="D21" s="8" t="s">
        <v>8</v>
      </c>
      <c r="E21" s="8" t="s">
        <v>46</v>
      </c>
      <c r="F21" s="10">
        <v>20</v>
      </c>
      <c r="G21" s="8" t="s">
        <v>13</v>
      </c>
      <c r="H21" s="8" t="s">
        <v>44</v>
      </c>
      <c r="I21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1481.5</v>
      </c>
    </row>
    <row r="22" spans="1:9" x14ac:dyDescent="0.25">
      <c r="A22" s="9"/>
      <c r="B22" s="4" t="str">
        <f>IF(ISNUMBER(Txn_table[[#This Row],[Date]]),(TEXT(Txn_table[[#This Row],[Date]],"ddd")),"Date Required!")</f>
        <v>Date Required!</v>
      </c>
      <c r="C22" s="8"/>
      <c r="D22" s="8"/>
      <c r="E22" s="8"/>
      <c r="F22" s="10"/>
      <c r="G22" s="8"/>
      <c r="H22" s="8"/>
      <c r="I22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0</v>
      </c>
    </row>
    <row r="23" spans="1:9" x14ac:dyDescent="0.25">
      <c r="A23" s="9"/>
      <c r="B23" s="4" t="str">
        <f>IF(ISNUMBER(Txn_table[[#This Row],[Date]]),(TEXT(Txn_table[[#This Row],[Date]],"ddd")),"Date Required!")</f>
        <v>Date Required!</v>
      </c>
      <c r="C23" s="8"/>
      <c r="D23" s="8"/>
      <c r="E23" s="8"/>
      <c r="F23" s="10"/>
      <c r="G23" s="8"/>
      <c r="H23" s="8"/>
      <c r="I23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0</v>
      </c>
    </row>
    <row r="24" spans="1:9" x14ac:dyDescent="0.25">
      <c r="A24" s="9"/>
      <c r="B24" s="4" t="str">
        <f>IF(ISNUMBER(Txn_table[[#This Row],[Date]]),(TEXT(Txn_table[[#This Row],[Date]],"ddd")),"Date Required!")</f>
        <v>Date Required!</v>
      </c>
      <c r="C24" s="8"/>
      <c r="D24" s="8"/>
      <c r="E24" s="8"/>
      <c r="F24" s="10"/>
      <c r="G24" s="8"/>
      <c r="H24" s="8"/>
      <c r="I24" s="49">
        <f>SUMIFS(
  Txn_table[Amount],
  Txn_table[Type (Income/Expense)], "Income",
  Txn_table[Date], "&lt;=" &amp; Txn_table[[#This Row],[Date]]
)
-
SUMIFS(
  Txn_table[Amount],
  Txn_table[Type (Income/Expense)], "Expense",
  Txn_table[Date], "&lt;=" &amp; Txn_table[[#This Row],[Date]]
)</f>
        <v>0</v>
      </c>
    </row>
  </sheetData>
  <phoneticPr fontId="6" type="noConversion"/>
  <conditionalFormatting sqref="D2:D24">
    <cfRule type="containsText" dxfId="2" priority="1" operator="containsText" text="Expense">
      <formula>NOT(ISERROR(SEARCH("Expense",D2)))</formula>
    </cfRule>
    <cfRule type="containsText" dxfId="1" priority="2" operator="containsText" text="Income">
      <formula>NOT(ISERROR(SEARCH("Income",D2)))</formula>
    </cfRule>
  </conditionalFormatting>
  <dataValidations count="1">
    <dataValidation type="list" allowBlank="1" showInputMessage="1" showErrorMessage="1" sqref="C2:C21" xr:uid="{37CB44D9-018F-4470-97DB-B8B3F6E8AB61}">
      <formula1>Txn_Cat_list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D839D8C9-34CC-49FD-B69D-55037FF890A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D2:D24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7928-0FBB-408A-9C8B-7B1EC3F26625}">
  <dimension ref="A1:D26"/>
  <sheetViews>
    <sheetView tabSelected="1" workbookViewId="0">
      <selection activeCell="A26" sqref="A26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30.140625" bestFit="1" customWidth="1"/>
  </cols>
  <sheetData>
    <row r="1" spans="1:4" x14ac:dyDescent="0.25">
      <c r="D1" t="s">
        <v>0</v>
      </c>
    </row>
    <row r="3" spans="1:4" x14ac:dyDescent="0.25">
      <c r="A3" t="s">
        <v>1</v>
      </c>
      <c r="B3" t="s">
        <v>40</v>
      </c>
    </row>
    <row r="4" spans="1:4" x14ac:dyDescent="0.25">
      <c r="A4" t="s">
        <v>2</v>
      </c>
      <c r="B4" s="1">
        <f>SUM(Rate_Table[Total_Earned])</f>
        <v>2817.5</v>
      </c>
      <c r="C4" t="str">
        <f t="shared" ref="C4:C9" ca="1" si="0">_xlfn.FORMULATEXT(B4)</f>
        <v>=SUM(Rate_Table[Total_Earned])</v>
      </c>
    </row>
    <row r="5" spans="1:4" x14ac:dyDescent="0.25">
      <c r="A5" t="s">
        <v>3</v>
      </c>
      <c r="B5" s="1">
        <f>-15%*B4</f>
        <v>-422.625</v>
      </c>
      <c r="C5" t="str">
        <f t="shared" ca="1" si="0"/>
        <v>=-15%*B4</v>
      </c>
    </row>
    <row r="6" spans="1:4" x14ac:dyDescent="0.25">
      <c r="A6" t="s">
        <v>4</v>
      </c>
      <c r="B6" s="1">
        <f>-11%*B4</f>
        <v>-309.92500000000001</v>
      </c>
      <c r="C6" t="str">
        <f t="shared" ca="1" si="0"/>
        <v>=-11%*B4</v>
      </c>
    </row>
    <row r="7" spans="1:4" x14ac:dyDescent="0.25">
      <c r="A7" t="s">
        <v>5</v>
      </c>
      <c r="B7" s="1">
        <f>-8%*B4</f>
        <v>-225.4</v>
      </c>
      <c r="C7" t="str">
        <f t="shared" ca="1" si="0"/>
        <v>=-8%*B4</v>
      </c>
    </row>
    <row r="8" spans="1:4" x14ac:dyDescent="0.25">
      <c r="A8" t="s">
        <v>6</v>
      </c>
      <c r="B8" s="1">
        <f>5%*B4</f>
        <v>140.875</v>
      </c>
      <c r="C8" t="str">
        <f t="shared" ca="1" si="0"/>
        <v>=5%*B4</v>
      </c>
    </row>
    <row r="9" spans="1:4" x14ac:dyDescent="0.25">
      <c r="A9" t="s">
        <v>7</v>
      </c>
      <c r="B9" s="1">
        <f>SUM(B4:B8)</f>
        <v>2000.4249999999997</v>
      </c>
      <c r="C9" t="str">
        <f t="shared" ca="1" si="0"/>
        <v>=SUM(B4:B8)</v>
      </c>
    </row>
    <row r="10" spans="1:4" x14ac:dyDescent="0.25">
      <c r="B10" s="1"/>
    </row>
    <row r="11" spans="1:4" x14ac:dyDescent="0.25">
      <c r="A11" t="s">
        <v>8</v>
      </c>
      <c r="B11" s="1" t="s">
        <v>40</v>
      </c>
      <c r="C11" s="1" t="s">
        <v>58</v>
      </c>
    </row>
    <row r="12" spans="1:4" x14ac:dyDescent="0.25">
      <c r="A12" t="s">
        <v>8</v>
      </c>
      <c r="B12" s="1">
        <f>VALUE(Table11[[#This Row],[Formulated Answers]])</f>
        <v>661</v>
      </c>
      <c r="C12" s="1">
        <f>VALUE(SUM(C13:C17))</f>
        <v>661</v>
      </c>
    </row>
    <row r="13" spans="1:4" x14ac:dyDescent="0.25">
      <c r="A13" t="s">
        <v>9</v>
      </c>
      <c r="B13" s="1">
        <f>VALUE(Table11[[#This Row],[Formulated Answers]])</f>
        <v>250</v>
      </c>
      <c r="C13" s="1">
        <f>IFERROR(VALUE(SUMIFS(Txn_table[Amount], Txn_table[Category], Summary!A13)), 0)</f>
        <v>250</v>
      </c>
    </row>
    <row r="14" spans="1:4" x14ac:dyDescent="0.25">
      <c r="A14" t="s">
        <v>10</v>
      </c>
      <c r="B14" s="1">
        <f>VALUE(Table11[[#This Row],[Formulated Answers]])</f>
        <v>216</v>
      </c>
      <c r="C14" s="1">
        <f>IFERROR(VALUE(SUMIFS(Txn_table[Amount], Txn_table[Category], Summary!A14)), 0)</f>
        <v>216</v>
      </c>
    </row>
    <row r="15" spans="1:4" x14ac:dyDescent="0.25">
      <c r="A15" t="s">
        <v>13</v>
      </c>
      <c r="B15" s="1">
        <f>VALUE(Table11[[#This Row],[Formulated Answers]])</f>
        <v>100</v>
      </c>
      <c r="C15" s="1">
        <f>IFERROR(VALUE(SUMIFS(Txn_table[Amount], Txn_table[Category], Summary!A15)), 0)</f>
        <v>100</v>
      </c>
    </row>
    <row r="16" spans="1:4" x14ac:dyDescent="0.25">
      <c r="A16" t="s">
        <v>12</v>
      </c>
      <c r="B16" s="1">
        <f>VALUE(Table11[[#This Row],[Formulated Answers]])</f>
        <v>55</v>
      </c>
      <c r="C16" s="1">
        <f>IFERROR(VALUE(SUMIFS(Txn_table[Amount], Txn_table[Category], Summary!A16)), 0)</f>
        <v>55</v>
      </c>
    </row>
    <row r="17" spans="1:3" x14ac:dyDescent="0.25">
      <c r="A17" t="s">
        <v>11</v>
      </c>
      <c r="B17" s="1">
        <f>VALUE(Table11[[#This Row],[Formulated Answers]])</f>
        <v>40</v>
      </c>
      <c r="C17" s="1">
        <f>IFERROR(VALUE(SUMIFS(Txn_table[Amount], Txn_table[Category], Summary!A17)), 0)</f>
        <v>40</v>
      </c>
    </row>
    <row r="18" spans="1:3" x14ac:dyDescent="0.25">
      <c r="B18" s="1"/>
    </row>
    <row r="19" spans="1:3" x14ac:dyDescent="0.25">
      <c r="A19" t="s">
        <v>14</v>
      </c>
      <c r="B19" s="1">
        <f>B9-B12</f>
        <v>1339.4249999999997</v>
      </c>
    </row>
    <row r="20" spans="1:3" x14ac:dyDescent="0.25">
      <c r="A20" t="s">
        <v>15</v>
      </c>
      <c r="B20" s="2">
        <f>(1-B12/B19)</f>
        <v>0.50650465684902102</v>
      </c>
    </row>
    <row r="21" spans="1:3" x14ac:dyDescent="0.25">
      <c r="A21" t="s">
        <v>17</v>
      </c>
      <c r="B21" s="3">
        <f>1-B20</f>
        <v>0.49349534315097898</v>
      </c>
    </row>
    <row r="23" spans="1:3" x14ac:dyDescent="0.25">
      <c r="A23" t="s">
        <v>104</v>
      </c>
    </row>
    <row r="24" spans="1:3" x14ac:dyDescent="0.25">
      <c r="A24" t="s">
        <v>107</v>
      </c>
      <c r="B24" s="13">
        <f>(net_profit/net_income)</f>
        <v>0.66957021632903002</v>
      </c>
    </row>
    <row r="25" spans="1:3" x14ac:dyDescent="0.25">
      <c r="A25" t="s">
        <v>105</v>
      </c>
      <c r="B25" s="13">
        <f>(net_expense/net_income)</f>
        <v>0.33042978367096998</v>
      </c>
    </row>
    <row r="26" spans="1:3" x14ac:dyDescent="0.25">
      <c r="A26" t="s">
        <v>106</v>
      </c>
      <c r="B26" s="10">
        <f>net_income-net_expense</f>
        <v>1339.4249999999997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8A3F-64C6-47C0-96B6-D3EF31B2C955}">
  <dimension ref="B2:J27"/>
  <sheetViews>
    <sheetView workbookViewId="0">
      <selection activeCell="B13" sqref="B13"/>
    </sheetView>
  </sheetViews>
  <sheetFormatPr defaultRowHeight="15" x14ac:dyDescent="0.25"/>
  <cols>
    <col min="2" max="2" width="26.140625" bestFit="1" customWidth="1"/>
    <col min="3" max="3" width="16.140625" customWidth="1"/>
    <col min="4" max="4" width="17.42578125" customWidth="1"/>
    <col min="5" max="5" width="13.42578125" customWidth="1"/>
    <col min="6" max="6" width="13.42578125" bestFit="1" customWidth="1"/>
    <col min="8" max="8" width="19.85546875" bestFit="1" customWidth="1"/>
    <col min="9" max="9" width="11.28515625" bestFit="1" customWidth="1"/>
    <col min="10" max="10" width="10.5703125" bestFit="1" customWidth="1"/>
    <col min="11" max="11" width="9.42578125" bestFit="1" customWidth="1"/>
    <col min="12" max="12" width="20.42578125" customWidth="1"/>
    <col min="13" max="13" width="10.140625" customWidth="1"/>
  </cols>
  <sheetData>
    <row r="2" spans="2:10" ht="31.5" x14ac:dyDescent="0.5">
      <c r="B2" s="20" t="s">
        <v>67</v>
      </c>
    </row>
    <row r="3" spans="2:10" x14ac:dyDescent="0.25">
      <c r="B3" s="14" t="s">
        <v>34</v>
      </c>
      <c r="C3" s="14" t="s">
        <v>60</v>
      </c>
      <c r="D3" s="14" t="s">
        <v>61</v>
      </c>
      <c r="E3" s="14" t="s">
        <v>62</v>
      </c>
      <c r="F3" s="14" t="s">
        <v>63</v>
      </c>
      <c r="H3" t="s">
        <v>64</v>
      </c>
    </row>
    <row r="4" spans="2:10" x14ac:dyDescent="0.25">
      <c r="B4" s="14" t="s">
        <v>9</v>
      </c>
      <c r="C4" s="14">
        <v>250</v>
      </c>
      <c r="D4" s="15">
        <f>VALUE(Summary!B13)</f>
        <v>250</v>
      </c>
      <c r="E4" s="16">
        <f>Budget[[#This Row],[Actual]]-Budget[[#This Row],[Budget]]</f>
        <v>0</v>
      </c>
      <c r="F4" s="17">
        <f>Budget[[#This Row],[Variance]]/Budget[[#This Row],[Budget]]</f>
        <v>0</v>
      </c>
      <c r="H4" t="s">
        <v>65</v>
      </c>
    </row>
    <row r="5" spans="2:10" x14ac:dyDescent="0.25">
      <c r="B5" s="14" t="s">
        <v>10</v>
      </c>
      <c r="C5" s="14">
        <v>250</v>
      </c>
      <c r="D5" s="15">
        <f>VALUE(Summary!B14)</f>
        <v>216</v>
      </c>
      <c r="E5" s="16">
        <f>Budget[[#This Row],[Actual]]-Budget[[#This Row],[Budget]]</f>
        <v>-34</v>
      </c>
      <c r="F5" s="17">
        <f>Budget[[#This Row],[Variance]]/Budget[[#This Row],[Budget]]</f>
        <v>-0.13600000000000001</v>
      </c>
      <c r="H5" t="s">
        <v>66</v>
      </c>
    </row>
    <row r="6" spans="2:10" x14ac:dyDescent="0.25">
      <c r="B6" s="14" t="s">
        <v>13</v>
      </c>
      <c r="C6" s="14">
        <v>110</v>
      </c>
      <c r="D6" s="15">
        <f>VALUE(Summary!B15)</f>
        <v>100</v>
      </c>
      <c r="E6" s="16">
        <f>Budget[[#This Row],[Actual]]-Budget[[#This Row],[Budget]]</f>
        <v>-10</v>
      </c>
      <c r="F6" s="17">
        <f>Budget[[#This Row],[Variance]]/Budget[[#This Row],[Budget]]</f>
        <v>-9.0909090909090912E-2</v>
      </c>
    </row>
    <row r="7" spans="2:10" x14ac:dyDescent="0.25">
      <c r="B7" s="14" t="s">
        <v>12</v>
      </c>
      <c r="C7" s="14">
        <v>55</v>
      </c>
      <c r="D7" s="15">
        <f>VALUE(Summary!B16)</f>
        <v>55</v>
      </c>
      <c r="E7" s="16">
        <f>Budget[[#This Row],[Actual]]-Budget[[#This Row],[Budget]]</f>
        <v>0</v>
      </c>
      <c r="F7" s="17">
        <f>Budget[[#This Row],[Variance]]/Budget[[#This Row],[Budget]]</f>
        <v>0</v>
      </c>
    </row>
    <row r="8" spans="2:10" x14ac:dyDescent="0.25">
      <c r="B8" s="14" t="s">
        <v>11</v>
      </c>
      <c r="C8" s="14">
        <v>30</v>
      </c>
      <c r="D8" s="15">
        <f>VALUE(Summary!B17)</f>
        <v>40</v>
      </c>
      <c r="E8" s="16">
        <f>Budget[[#This Row],[Actual]]-Budget[[#This Row],[Budget]]</f>
        <v>10</v>
      </c>
      <c r="F8" s="17">
        <f>Budget[[#This Row],[Variance]]/Budget[[#This Row],[Budget]]</f>
        <v>0.33333333333333331</v>
      </c>
    </row>
    <row r="10" spans="2:10" ht="31.5" x14ac:dyDescent="0.5">
      <c r="B10" s="20" t="s">
        <v>68</v>
      </c>
    </row>
    <row r="11" spans="2:10" ht="30" x14ac:dyDescent="0.25">
      <c r="B11" s="7" t="s">
        <v>59</v>
      </c>
      <c r="C11" s="7" t="s">
        <v>69</v>
      </c>
      <c r="D11" s="7" t="s">
        <v>70</v>
      </c>
      <c r="E11" s="7" t="s">
        <v>71</v>
      </c>
      <c r="F11" s="7" t="s">
        <v>73</v>
      </c>
      <c r="G11" s="7" t="s">
        <v>74</v>
      </c>
      <c r="H11" s="7" t="s">
        <v>94</v>
      </c>
      <c r="I11" s="7" t="s">
        <v>100</v>
      </c>
      <c r="J11" s="7" t="s">
        <v>101</v>
      </c>
    </row>
    <row r="12" spans="2:10" x14ac:dyDescent="0.25">
      <c r="B12" s="8" t="s">
        <v>72</v>
      </c>
      <c r="C12" s="22">
        <v>10000</v>
      </c>
      <c r="D12" s="6">
        <f>IF(ISNUMBER(Goal_todo[[#This Row],[Target Amount]]),VALUE(net_profit),)</f>
        <v>1339.4249999999997</v>
      </c>
      <c r="E12" s="21">
        <f>IF(ISNUMBER(Goal_todo[[#This Row],[Target Amount]]),VALUE(IF(AND(ISNUMBER(Goal_todo[[#This Row],[Target Amount]]), ISNUMBER(Goal_todo[[#This Row],[Current Savings]]), Goal_todo[[#This Row],[Target Amount]]&gt;0), ROUND(Goal_todo[[#This Row],[Current Savings]]/Goal_todo[[#This Row],[Target Amount]], 4), "")),)</f>
        <v>0.13389999999999999</v>
      </c>
      <c r="F12" s="6">
        <f>IF(AND(ISNUMBER(Goal_todo[[#This Row],[Target Amount]]), ISNUMBER(Goal_todo[[#This Row],[Current Savings]])), MAX(Goal_todo[[#This Row],[Target Amount]] - Goal_todo[[#This Row],[Current Savings]], 0), "")</f>
        <v>8660.5750000000007</v>
      </c>
      <c r="G12" s="31" t="s">
        <v>97</v>
      </c>
      <c r="H12" s="4">
        <v>45992</v>
      </c>
      <c r="I12" t="e">
        <f ca="1">IF(ISNUMBER(Goal_todo[[#This Row],[DeadLine]]),DATEDIF(TODAY(), Goal_todo[[#This Row],[DeadLine]], "m"),)</f>
        <v>#NUM!</v>
      </c>
      <c r="J12" s="10" t="e">
        <f ca="1">IF(Goal_todo[[#This Row],[Current Savings]]&lt;Goal_todo[[#This Row],[Target Amount]], ROUND((Goal_todo[[#This Row],[Target Amount]]-Goal_todo[[#This Row],[Current Savings]])/DATEDIF(TODAY(),Goal_todo[[#This Row],[DeadLine]],"m"), 2), 0)</f>
        <v>#NUM!</v>
      </c>
    </row>
    <row r="13" spans="2:10" x14ac:dyDescent="0.25">
      <c r="B13" t="s">
        <v>76</v>
      </c>
      <c r="C13" s="6">
        <v>8000</v>
      </c>
      <c r="D13" s="6">
        <f>IF(ISNUMBER(Goal_todo[[#This Row],[Target Amount]]),VALUE(net_profit),)</f>
        <v>1339.4249999999997</v>
      </c>
      <c r="E13" s="21">
        <f>IF(ISNUMBER(Goal_todo[[#This Row],[Target Amount]]),VALUE(IF(AND(ISNUMBER(Goal_todo[[#This Row],[Target Amount]]), ISNUMBER(Goal_todo[[#This Row],[Current Savings]]), Goal_todo[[#This Row],[Target Amount]]&gt;0), ROUND(Goal_todo[[#This Row],[Current Savings]]/Goal_todo[[#This Row],[Target Amount]], 4), "")),)</f>
        <v>0.16739999999999999</v>
      </c>
      <c r="F13" s="6">
        <f>IF(AND(ISNUMBER(Goal_todo[[#This Row],[Target Amount]]), ISNUMBER(Goal_todo[[#This Row],[Current Savings]])), MAX(Goal_todo[[#This Row],[Target Amount]] - Goal_todo[[#This Row],[Current Savings]], 0), "")</f>
        <v>6660.5750000000007</v>
      </c>
      <c r="G13" s="31" t="s">
        <v>98</v>
      </c>
      <c r="H13" s="4">
        <v>46357</v>
      </c>
      <c r="I13">
        <f ca="1">IF(ISNUMBER(Goal_todo[[#This Row],[DeadLine]]),DATEDIF(TODAY(), Goal_todo[[#This Row],[DeadLine]], "m"),)</f>
        <v>10</v>
      </c>
      <c r="J13" s="10">
        <f ca="1">IF(Goal_todo[[#This Row],[Current Savings]]&lt;Goal_todo[[#This Row],[Target Amount]], ROUND((Goal_todo[[#This Row],[Target Amount]]-Goal_todo[[#This Row],[Current Savings]])/DATEDIF(TODAY(),Goal_todo[[#This Row],[DeadLine]],"m"), 2), 0)</f>
        <v>666.06</v>
      </c>
    </row>
    <row r="14" spans="2:10" x14ac:dyDescent="0.25">
      <c r="B14" t="s">
        <v>13</v>
      </c>
      <c r="C14" s="6">
        <v>5000</v>
      </c>
      <c r="D14" s="6">
        <f>IF(ISNUMBER(Goal_todo[[#This Row],[Target Amount]]),VALUE(net_profit),)</f>
        <v>1339.4249999999997</v>
      </c>
      <c r="E14" s="21">
        <f>IF(ISNUMBER(Goal_todo[[#This Row],[Target Amount]]),VALUE(IF(AND(ISNUMBER(Goal_todo[[#This Row],[Target Amount]]), ISNUMBER(Goal_todo[[#This Row],[Current Savings]]), Goal_todo[[#This Row],[Target Amount]]&gt;0), ROUND(Goal_todo[[#This Row],[Current Savings]]/Goal_todo[[#This Row],[Target Amount]], 4), "")),)</f>
        <v>0.26790000000000003</v>
      </c>
      <c r="F14" s="6">
        <f>IF(AND(ISNUMBER(Goal_todo[[#This Row],[Target Amount]]), ISNUMBER(Goal_todo[[#This Row],[Current Savings]])), MAX(Goal_todo[[#This Row],[Target Amount]] - Goal_todo[[#This Row],[Current Savings]], 0), "")</f>
        <v>3660.5750000000003</v>
      </c>
      <c r="G14" s="31" t="s">
        <v>98</v>
      </c>
      <c r="H14" s="4">
        <v>49644</v>
      </c>
      <c r="I14">
        <f ca="1">IF(ISNUMBER(Goal_todo[[#This Row],[DeadLine]]),DATEDIF(TODAY(), Goal_todo[[#This Row],[DeadLine]], "m"),)</f>
        <v>118</v>
      </c>
      <c r="J14" s="10">
        <f ca="1">IF(Goal_todo[[#This Row],[Current Savings]]&lt;Goal_todo[[#This Row],[Target Amount]], ROUND((Goal_todo[[#This Row],[Target Amount]]-Goal_todo[[#This Row],[Current Savings]])/DATEDIF(TODAY(),Goal_todo[[#This Row],[DeadLine]],"m"), 2), 0)</f>
        <v>31.02</v>
      </c>
    </row>
    <row r="15" spans="2:10" x14ac:dyDescent="0.25">
      <c r="B15" t="s">
        <v>95</v>
      </c>
      <c r="C15" s="6">
        <v>100000</v>
      </c>
      <c r="D15" s="6">
        <f>IF(ISNUMBER(Goal_todo[[#This Row],[Target Amount]]),VALUE(net_profit),)</f>
        <v>1339.4249999999997</v>
      </c>
      <c r="E15" s="21">
        <f>IF(ISNUMBER(Goal_todo[[#This Row],[Target Amount]]),VALUE(IF(AND(ISNUMBER(Goal_todo[[#This Row],[Target Amount]]), ISNUMBER(Goal_todo[[#This Row],[Current Savings]]), Goal_todo[[#This Row],[Target Amount]]&gt;0), ROUND(Goal_todo[[#This Row],[Current Savings]]/Goal_todo[[#This Row],[Target Amount]], 4), "")),)</f>
        <v>1.34E-2</v>
      </c>
      <c r="F15" s="6">
        <f>IF(AND(ISNUMBER(Goal_todo[[#This Row],[Target Amount]]), ISNUMBER(Goal_todo[[#This Row],[Current Savings]])), MAX(Goal_todo[[#This Row],[Target Amount]] - Goal_todo[[#This Row],[Current Savings]], 0), "")</f>
        <v>98660.574999999997</v>
      </c>
      <c r="G15" s="31" t="s">
        <v>97</v>
      </c>
      <c r="H15" s="4">
        <v>53144</v>
      </c>
      <c r="I15">
        <f ca="1">IF(ISNUMBER(Goal_todo[[#This Row],[DeadLine]]),DATEDIF(TODAY(), Goal_todo[[#This Row],[DeadLine]], "m"),)</f>
        <v>233</v>
      </c>
      <c r="J15" s="10">
        <f ca="1">IF(Goal_todo[[#This Row],[Current Savings]]&lt;Goal_todo[[#This Row],[Target Amount]], ROUND((Goal_todo[[#This Row],[Target Amount]]-Goal_todo[[#This Row],[Current Savings]])/DATEDIF(TODAY(),Goal_todo[[#This Row],[DeadLine]],"m"), 2), 0)</f>
        <v>423.44</v>
      </c>
    </row>
    <row r="16" spans="2:10" x14ac:dyDescent="0.25">
      <c r="B16" t="s">
        <v>96</v>
      </c>
      <c r="C16" s="6">
        <v>250000</v>
      </c>
      <c r="D16" s="6">
        <f>IF(ISNUMBER(Goal_todo[[#This Row],[Target Amount]]),VALUE(net_profit),)</f>
        <v>1339.4249999999997</v>
      </c>
      <c r="E16" s="21">
        <f>IF(ISNUMBER(Goal_todo[[#This Row],[Target Amount]]),VALUE(IF(AND(ISNUMBER(Goal_todo[[#This Row],[Target Amount]]), ISNUMBER(Goal_todo[[#This Row],[Current Savings]]), Goal_todo[[#This Row],[Target Amount]]&gt;0), ROUND(Goal_todo[[#This Row],[Current Savings]]/Goal_todo[[#This Row],[Target Amount]], 4), "")),)</f>
        <v>5.4000000000000003E-3</v>
      </c>
      <c r="F16" s="6">
        <f>IF(AND(ISNUMBER(Goal_todo[[#This Row],[Target Amount]]), ISNUMBER(Goal_todo[[#This Row],[Current Savings]])), MAX(Goal_todo[[#This Row],[Target Amount]] - Goal_todo[[#This Row],[Current Savings]], 0), "")</f>
        <v>248660.57500000001</v>
      </c>
      <c r="G16" s="31" t="s">
        <v>99</v>
      </c>
      <c r="H16" s="4">
        <v>71225</v>
      </c>
      <c r="I16">
        <f ca="1">IF(ISNUMBER(Goal_todo[[#This Row],[DeadLine]]),DATEDIF(TODAY(), Goal_todo[[#This Row],[DeadLine]], "m"),)</f>
        <v>827</v>
      </c>
      <c r="J16" s="10">
        <f ca="1">IF(Goal_todo[[#This Row],[Current Savings]]&lt;Goal_todo[[#This Row],[Target Amount]], ROUND((Goal_todo[[#This Row],[Target Amount]]-Goal_todo[[#This Row],[Current Savings]])/DATEDIF(TODAY(),Goal_todo[[#This Row],[DeadLine]],"m"), 2), 0)</f>
        <v>300.68</v>
      </c>
    </row>
    <row r="17" spans="2:10" x14ac:dyDescent="0.25">
      <c r="C17" s="6"/>
      <c r="D17" s="6">
        <f>IF(ISNUMBER(Goal_todo[[#This Row],[Target Amount]]),VALUE(net_profit),)</f>
        <v>0</v>
      </c>
      <c r="E17" s="21">
        <f>IF(ISNUMBER(Goal_todo[[#This Row],[Target Amount]]),VALUE(IF(AND(ISNUMBER(Goal_todo[[#This Row],[Target Amount]]), ISNUMBER(Goal_todo[[#This Row],[Current Savings]]), Goal_todo[[#This Row],[Target Amount]]&gt;0), ROUND(Goal_todo[[#This Row],[Current Savings]]/Goal_todo[[#This Row],[Target Amount]], 4), "")),)</f>
        <v>0</v>
      </c>
      <c r="F17" s="6" t="str">
        <f>IF(AND(ISNUMBER(Goal_todo[[#This Row],[Target Amount]]), ISNUMBER(Goal_todo[[#This Row],[Current Savings]])), MAX(Goal_todo[[#This Row],[Target Amount]] - Goal_todo[[#This Row],[Current Savings]], 0), "")</f>
        <v/>
      </c>
      <c r="G17" s="31"/>
      <c r="H17" s="4"/>
      <c r="I17">
        <f ca="1">IF(ISNUMBER(Goal_todo[[#This Row],[DeadLine]]),DATEDIF(TODAY(), Goal_todo[[#This Row],[DeadLine]], "m"),)</f>
        <v>0</v>
      </c>
      <c r="J17" s="10">
        <f ca="1">IF(Goal_todo[[#This Row],[Current Savings]]&lt;Goal_todo[[#This Row],[Target Amount]], ROUND((Goal_todo[[#This Row],[Target Amount]]-Goal_todo[[#This Row],[Current Savings]])/DATEDIF(TODAY(),Goal_todo[[#This Row],[DeadLine]],"m"), 2), 0)</f>
        <v>0</v>
      </c>
    </row>
    <row r="20" spans="2:10" ht="31.5" x14ac:dyDescent="0.5">
      <c r="B20" s="20" t="s">
        <v>75</v>
      </c>
    </row>
    <row r="21" spans="2:10" x14ac:dyDescent="0.25">
      <c r="B21" t="s">
        <v>18</v>
      </c>
      <c r="C21" s="23" t="s">
        <v>59</v>
      </c>
      <c r="D21" s="23" t="s">
        <v>40</v>
      </c>
    </row>
    <row r="22" spans="2:10" x14ac:dyDescent="0.25">
      <c r="B22" s="4">
        <v>45658</v>
      </c>
      <c r="C22" t="s">
        <v>77</v>
      </c>
      <c r="D22" s="24">
        <v>1300</v>
      </c>
    </row>
    <row r="23" spans="2:10" x14ac:dyDescent="0.25">
      <c r="C23" s="25"/>
      <c r="D23" s="26"/>
    </row>
    <row r="24" spans="2:10" x14ac:dyDescent="0.25">
      <c r="C24" s="27"/>
      <c r="D24" s="28"/>
    </row>
    <row r="25" spans="2:10" x14ac:dyDescent="0.25">
      <c r="C25" s="25"/>
      <c r="D25" s="26"/>
    </row>
    <row r="26" spans="2:10" x14ac:dyDescent="0.25">
      <c r="C26" s="27"/>
      <c r="D26" s="28"/>
    </row>
    <row r="27" spans="2:10" x14ac:dyDescent="0.25">
      <c r="C27" s="29"/>
      <c r="D27" s="30"/>
    </row>
  </sheetData>
  <conditionalFormatting sqref="E12:E17">
    <cfRule type="colorScale" priority="1">
      <colorScale>
        <cfvo type="num" val="0"/>
        <cfvo type="max"/>
        <color theme="0"/>
        <color rgb="FF92D050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C89E-5380-441D-A9FC-11CEEF2837BC}">
  <dimension ref="A2:C31"/>
  <sheetViews>
    <sheetView showGridLines="0" zoomScaleNormal="100" workbookViewId="0">
      <selection activeCell="Y2" sqref="Y2"/>
    </sheetView>
  </sheetViews>
  <sheetFormatPr defaultRowHeight="15" x14ac:dyDescent="0.25"/>
  <cols>
    <col min="2" max="2" width="19" bestFit="1" customWidth="1"/>
    <col min="3" max="3" width="13.5703125" bestFit="1" customWidth="1"/>
  </cols>
  <sheetData>
    <row r="2" spans="2:3" ht="26.25" x14ac:dyDescent="0.4">
      <c r="B2" s="19" t="s">
        <v>0</v>
      </c>
    </row>
    <row r="4" spans="2:3" x14ac:dyDescent="0.25">
      <c r="B4" s="35" t="s">
        <v>78</v>
      </c>
      <c r="C4" s="32" t="s">
        <v>102</v>
      </c>
    </row>
    <row r="5" spans="2:3" x14ac:dyDescent="0.25">
      <c r="B5" s="36" t="s">
        <v>79</v>
      </c>
      <c r="C5" s="33">
        <v>25</v>
      </c>
    </row>
    <row r="6" spans="2:3" x14ac:dyDescent="0.25">
      <c r="B6" s="37" t="s">
        <v>80</v>
      </c>
      <c r="C6" s="34" t="s">
        <v>90</v>
      </c>
    </row>
    <row r="8" spans="2:3" x14ac:dyDescent="0.25">
      <c r="B8" s="38" t="s">
        <v>91</v>
      </c>
      <c r="C8" s="38" t="s">
        <v>40</v>
      </c>
    </row>
    <row r="9" spans="2:3" x14ac:dyDescent="0.25">
      <c r="B9" s="38" t="s">
        <v>81</v>
      </c>
      <c r="C9" s="39">
        <f>net_profit</f>
        <v>1339.4249999999997</v>
      </c>
    </row>
    <row r="10" spans="2:3" x14ac:dyDescent="0.25">
      <c r="B10" s="38" t="s">
        <v>82</v>
      </c>
      <c r="C10" s="39">
        <v>0</v>
      </c>
    </row>
    <row r="11" spans="2:3" x14ac:dyDescent="0.25">
      <c r="B11" s="38" t="s">
        <v>83</v>
      </c>
      <c r="C11" s="39">
        <v>0</v>
      </c>
    </row>
    <row r="12" spans="2:3" x14ac:dyDescent="0.25">
      <c r="B12" s="38" t="s">
        <v>84</v>
      </c>
      <c r="C12" s="39">
        <v>0</v>
      </c>
    </row>
    <row r="14" spans="2:3" x14ac:dyDescent="0.25">
      <c r="B14" t="s">
        <v>92</v>
      </c>
      <c r="C14" t="s">
        <v>40</v>
      </c>
    </row>
    <row r="15" spans="2:3" x14ac:dyDescent="0.25">
      <c r="B15" t="s">
        <v>85</v>
      </c>
      <c r="C15" s="10">
        <v>0</v>
      </c>
    </row>
    <row r="16" spans="2:3" x14ac:dyDescent="0.25">
      <c r="B16" t="s">
        <v>86</v>
      </c>
      <c r="C16" s="10">
        <v>0</v>
      </c>
    </row>
    <row r="17" spans="1:3" x14ac:dyDescent="0.25">
      <c r="B17" t="s">
        <v>87</v>
      </c>
      <c r="C17" s="10">
        <v>0</v>
      </c>
    </row>
    <row r="18" spans="1:3" x14ac:dyDescent="0.25">
      <c r="B18" t="s">
        <v>88</v>
      </c>
      <c r="C18" s="10">
        <v>0</v>
      </c>
    </row>
    <row r="19" spans="1:3" x14ac:dyDescent="0.25">
      <c r="B19" t="s">
        <v>89</v>
      </c>
      <c r="C19" s="10">
        <v>0</v>
      </c>
    </row>
    <row r="21" spans="1:3" x14ac:dyDescent="0.25">
      <c r="B21" s="47" t="s">
        <v>93</v>
      </c>
      <c r="C21" s="48">
        <f>SUM(Asset_table[Amount])-SUM(Liabilities_Table[Amount])</f>
        <v>1339.4249999999997</v>
      </c>
    </row>
    <row r="22" spans="1:3" x14ac:dyDescent="0.25">
      <c r="B22" s="46"/>
    </row>
    <row r="23" spans="1:3" x14ac:dyDescent="0.25">
      <c r="B23" s="18" t="s">
        <v>103</v>
      </c>
    </row>
    <row r="24" spans="1:3" x14ac:dyDescent="0.25">
      <c r="A24" s="40" t="b">
        <v>0</v>
      </c>
      <c r="B24" s="41" t="str" cm="1">
        <f t="array" ref="B24:B29">_xlfn.UNIQUE(_xlfn._xlws.FILTER(_xlfn.VSTACK(Goal_todo[Goal], Goal_done[Goal]), _xlfn.VSTACK(Goal_todo[Goal], Goal_done[Goal])&lt;&gt;""))</f>
        <v>Emergency Fund</v>
      </c>
      <c r="C24" s="44">
        <f>VLOOKUP(B24,Goal_todo[],4,FALSE)</f>
        <v>0.13389999999999999</v>
      </c>
    </row>
    <row r="25" spans="1:3" x14ac:dyDescent="0.25">
      <c r="A25" s="40" t="b">
        <f>ISNUMBER(MATCH(B25, Goal_done[Goal], 0))</f>
        <v>0</v>
      </c>
      <c r="B25" s="42" t="str">
        <v>Car Emergency Fund</v>
      </c>
      <c r="C25" s="45">
        <f>VLOOKUP(B25,Goal_todo[],4,FALSE)</f>
        <v>0.16739999999999999</v>
      </c>
    </row>
    <row r="26" spans="1:3" x14ac:dyDescent="0.25">
      <c r="A26" s="40" t="b">
        <f>ISNUMBER(MATCH(B26, Goal_done[Goal], 0))</f>
        <v>0</v>
      </c>
      <c r="B26" s="41" t="str">
        <v>Travel</v>
      </c>
      <c r="C26" s="45">
        <f>VLOOKUP(B26,Goal_todo[],4,FALSE)</f>
        <v>0.26790000000000003</v>
      </c>
    </row>
    <row r="27" spans="1:3" x14ac:dyDescent="0.25">
      <c r="A27" s="40" t="b">
        <f>ISNUMBER(MATCH(B27, Goal_done[Goal], 0))</f>
        <v>0</v>
      </c>
      <c r="B27" s="43" t="str">
        <v>House Deposit</v>
      </c>
      <c r="C27" s="45">
        <f>VLOOKUP(B27,Goal_todo[],4,FALSE)</f>
        <v>1.34E-2</v>
      </c>
    </row>
    <row r="28" spans="1:3" x14ac:dyDescent="0.25">
      <c r="A28" s="40" t="b">
        <f>ISNUMBER(MATCH(B28, Goal_done[Goal], 0))</f>
        <v>0</v>
      </c>
      <c r="B28" s="41" t="str">
        <v>Retirement</v>
      </c>
      <c r="C28" s="45">
        <f>VLOOKUP(B28,Goal_todo[],4,FALSE)</f>
        <v>5.4000000000000003E-3</v>
      </c>
    </row>
    <row r="29" spans="1:3" x14ac:dyDescent="0.25">
      <c r="A29" s="40" t="b">
        <f>ISNUMBER(MATCH(B29, Goal_done[Goal], 0))</f>
        <v>1</v>
      </c>
      <c r="B29" s="43" t="str">
        <v>Mobile</v>
      </c>
      <c r="C29" s="45">
        <f>IF(COUNTIF(Goal_done[Goal], B29), _xlfn.NUMBERVALUE(100%), VLOOKUP(B29, Goal_todo[], 4, FALSE))</f>
        <v>1</v>
      </c>
    </row>
    <row r="31" spans="1:3" x14ac:dyDescent="0.25">
      <c r="B31" s="51" t="s">
        <v>107</v>
      </c>
      <c r="C31" s="52">
        <f>Summary!B24</f>
        <v>0.66957021632903002</v>
      </c>
    </row>
  </sheetData>
  <conditionalFormatting sqref="B24:B29">
    <cfRule type="expression" dxfId="0" priority="6">
      <formula>$A$24:$A$29=TRUE</formula>
    </cfRule>
  </conditionalFormatting>
  <conditionalFormatting sqref="C24:C29">
    <cfRule type="colorScale" priority="3">
      <colorScale>
        <cfvo type="min"/>
        <cfvo type="max"/>
        <color rgb="FFFCFCFF"/>
        <color rgb="FF63BE7B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{22D8F394-FAA7-4767-8AE6-1F5BABE7842C}</x14:id>
        </ext>
      </extLst>
    </cfRule>
  </conditionalFormatting>
  <conditionalFormatting sqref="C31">
    <cfRule type="dataBar" priority="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{F7418002-3DFE-4F74-8C63-29177C9A1069}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D8F394-FAA7-4767-8AE6-1F5BABE7842C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C24:C29</xm:sqref>
        </x14:conditionalFormatting>
        <x14:conditionalFormatting xmlns:xm="http://schemas.microsoft.com/office/excel/2006/main">
          <x14:cfRule type="dataBar" id="{F7418002-3DFE-4F74-8C63-29177C9A1069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C31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629E-92BA-4099-AF1B-C436448870B4}">
  <dimension ref="A1:T31"/>
  <sheetViews>
    <sheetView workbookViewId="0">
      <selection activeCell="D11" sqref="D11"/>
    </sheetView>
  </sheetViews>
  <sheetFormatPr defaultRowHeight="15" x14ac:dyDescent="0.25"/>
  <cols>
    <col min="1" max="1" width="11.28515625" customWidth="1"/>
    <col min="2" max="2" width="18.85546875" customWidth="1"/>
    <col min="4" max="4" width="10.42578125" bestFit="1" customWidth="1"/>
    <col min="5" max="5" width="9.42578125" bestFit="1" customWidth="1"/>
    <col min="6" max="6" width="10.5703125" bestFit="1" customWidth="1"/>
    <col min="7" max="8" width="12.140625" customWidth="1"/>
    <col min="9" max="9" width="13.7109375" customWidth="1"/>
    <col min="10" max="10" width="10.42578125" bestFit="1" customWidth="1"/>
    <col min="12" max="12" width="12.42578125" customWidth="1"/>
    <col min="13" max="13" width="12.7109375" customWidth="1"/>
    <col min="14" max="14" width="10.5703125" bestFit="1" customWidth="1"/>
    <col min="18" max="18" width="10.42578125" bestFit="1" customWidth="1"/>
    <col min="19" max="20" width="10.5703125" bestFit="1" customWidth="1"/>
  </cols>
  <sheetData>
    <row r="1" spans="1:20" x14ac:dyDescent="0.25">
      <c r="A1" s="7" t="s">
        <v>34</v>
      </c>
      <c r="B1" s="7" t="s">
        <v>35</v>
      </c>
      <c r="D1" t="s">
        <v>18</v>
      </c>
      <c r="E1" t="s">
        <v>109</v>
      </c>
      <c r="F1" t="s">
        <v>110</v>
      </c>
      <c r="G1" t="s">
        <v>111</v>
      </c>
      <c r="H1" t="s">
        <v>108</v>
      </c>
      <c r="J1" t="s">
        <v>112</v>
      </c>
      <c r="K1" t="s">
        <v>113</v>
      </c>
      <c r="L1" t="s">
        <v>115</v>
      </c>
      <c r="M1" t="s">
        <v>116</v>
      </c>
      <c r="N1" t="s">
        <v>114</v>
      </c>
      <c r="Q1" t="s">
        <v>117</v>
      </c>
      <c r="R1" t="s">
        <v>18</v>
      </c>
      <c r="S1" t="s">
        <v>118</v>
      </c>
      <c r="T1" t="s">
        <v>119</v>
      </c>
    </row>
    <row r="2" spans="1:20" x14ac:dyDescent="0.25">
      <c r="A2" s="8" t="s">
        <v>2</v>
      </c>
      <c r="B2" s="8" t="s">
        <v>1</v>
      </c>
      <c r="D2" s="4" cm="1">
        <f t="array" ref="D2:D8">_xlfn._xlws.SORT(
  _xlfn.UNIQUE(
    _xlfn._xlws.FILTER(
      Txn_table[Date],
      Txn_table[Date] &lt;&gt; ""
    )
  )
)</f>
        <v>45658</v>
      </c>
      <c r="E2" s="50" cm="1">
        <f t="array" ref="E2:E8">_xlfn.SEQUENCE( ROWS(_xlfn.ANCHORARRAY(D2)), 1, 1, 1 )</f>
        <v>1</v>
      </c>
      <c r="F2" s="10" cm="1">
        <f t="array" ref="F2:F8">SUMIFS(
  Txn_table[Amount],
  Txn_table[Type (Income/Expense)], "Income",
  Txn_table[Date],_xlfn.ANCHORARRAY( D2)
)</f>
        <v>2142.5</v>
      </c>
      <c r="G2" s="10" cm="1">
        <f t="array" ref="G2:G8">SUMIFS(
  Txn_table[Amount],
  Txn_table[Type (Income/Expense)], "Expense",
  Txn_table[Date],_xlfn.ANCHORARRAY(D2)
)</f>
        <v>375</v>
      </c>
      <c r="H2" s="10">
        <f>F2-G2</f>
        <v>1767.5</v>
      </c>
      <c r="I2" s="10"/>
      <c r="J2" s="4" cm="1">
        <f t="array" ref="J2:J8">_xlfn.ANCHORARRAY(D2)+6</f>
        <v>45664</v>
      </c>
      <c r="K2" s="50" cm="1">
        <f t="array" ref="K2:K8">_xlfn.ANCHORARRAY(E2)+6</f>
        <v>7</v>
      </c>
      <c r="L2" s="10" cm="1">
        <f t="array" ref="L2:L8">_xlfn.FORECAST.LINEAR(_xlfn.ANCHORARRAY(  K2),_xlfn.ANCHORARRAY(  F2),_xlfn.ANCHORARRAY(  E2))</f>
        <v>-382.58928571428578</v>
      </c>
      <c r="M2" s="10" cm="1">
        <f t="array" ref="M2:M8">_xlfn.FORECAST.LINEAR(_xlfn.ANCHORARRAY(  K2),_xlfn.ANCHORARRAY(  G2),_xlfn.ANCHORARRAY(  E2))</f>
        <v>-10.678571428571445</v>
      </c>
      <c r="N2" s="10" cm="1">
        <f t="array" ref="N2:N8">_xlfn.FORECAST.LINEAR(_xlfn.ANCHORARRAY(  K2),  H2:H8, dateIndex)</f>
        <v>1482.0357142857142</v>
      </c>
      <c r="Q2" s="50" cm="1">
        <f t="array" ref="Q2:Q15">_xlfn.VSTACK(_xlfn.ANCHORARRAY(E2),_xlfn.ANCHORARRAY( K2))</f>
        <v>1</v>
      </c>
      <c r="R2" s="4" cm="1">
        <f t="array" ref="R2:R15">_xlfn.VSTACK(_xlfn.ANCHORARRAY(D2),_xlfn.ANCHORARRAY( J2))</f>
        <v>45658</v>
      </c>
      <c r="S2" s="10" cm="1">
        <f t="array" ref="S2:S8">H2:H8</f>
        <v>1767.5</v>
      </c>
      <c r="T2" s="10"/>
    </row>
    <row r="3" spans="1:20" x14ac:dyDescent="0.25">
      <c r="A3" s="8" t="s">
        <v>6</v>
      </c>
      <c r="B3" s="8" t="s">
        <v>1</v>
      </c>
      <c r="D3" s="4">
        <v>45659</v>
      </c>
      <c r="E3" s="50">
        <v>2</v>
      </c>
      <c r="F3" s="10">
        <v>0</v>
      </c>
      <c r="G3" s="10">
        <v>45</v>
      </c>
      <c r="H3" s="10">
        <f>H2+F3-G3</f>
        <v>1722.5</v>
      </c>
      <c r="I3" s="10"/>
      <c r="J3" s="4">
        <v>45665</v>
      </c>
      <c r="K3">
        <v>8</v>
      </c>
      <c r="L3" s="10">
        <v>-612.14285714285711</v>
      </c>
      <c r="M3" s="10">
        <v>-45.714285714285722</v>
      </c>
      <c r="N3" s="10">
        <v>1434.5</v>
      </c>
      <c r="Q3">
        <v>2</v>
      </c>
      <c r="R3" s="4">
        <v>45659</v>
      </c>
      <c r="S3" s="10">
        <v>1722.5</v>
      </c>
      <c r="T3" s="10"/>
    </row>
    <row r="4" spans="1:20" x14ac:dyDescent="0.25">
      <c r="A4" s="8" t="s">
        <v>10</v>
      </c>
      <c r="B4" s="8" t="s">
        <v>36</v>
      </c>
      <c r="D4" s="4">
        <v>45660</v>
      </c>
      <c r="E4" s="50">
        <v>3</v>
      </c>
      <c r="F4" s="10">
        <v>0</v>
      </c>
      <c r="G4" s="10">
        <v>55</v>
      </c>
      <c r="H4" s="10">
        <f t="shared" ref="H4:H8" si="0">H3+F4-G4</f>
        <v>1667.5</v>
      </c>
      <c r="I4" s="10"/>
      <c r="J4" s="4">
        <v>45666</v>
      </c>
      <c r="K4">
        <v>9</v>
      </c>
      <c r="L4" s="10">
        <v>-841.69642857142844</v>
      </c>
      <c r="M4" s="10">
        <v>-80.75</v>
      </c>
      <c r="N4" s="10">
        <v>1386.9642857142858</v>
      </c>
      <c r="Q4">
        <v>3</v>
      </c>
      <c r="R4" s="4">
        <v>45660</v>
      </c>
      <c r="S4" s="10">
        <v>1667.5</v>
      </c>
      <c r="T4" s="10"/>
    </row>
    <row r="5" spans="1:20" x14ac:dyDescent="0.25">
      <c r="A5" s="8" t="s">
        <v>9</v>
      </c>
      <c r="B5" s="8" t="s">
        <v>37</v>
      </c>
      <c r="D5" s="4">
        <v>45661</v>
      </c>
      <c r="E5" s="50">
        <v>4</v>
      </c>
      <c r="F5" s="10">
        <v>0</v>
      </c>
      <c r="G5" s="10">
        <v>43</v>
      </c>
      <c r="H5" s="10">
        <f t="shared" si="0"/>
        <v>1624.5</v>
      </c>
      <c r="I5" s="10"/>
      <c r="J5" s="4">
        <v>45667</v>
      </c>
      <c r="K5">
        <v>10</v>
      </c>
      <c r="L5" s="10">
        <v>-1071.25</v>
      </c>
      <c r="M5" s="10">
        <v>-115.78571428571428</v>
      </c>
      <c r="N5" s="10">
        <v>1339.4285714285713</v>
      </c>
      <c r="Q5">
        <v>4</v>
      </c>
      <c r="R5" s="4">
        <v>45661</v>
      </c>
      <c r="S5" s="10">
        <v>1624.5</v>
      </c>
      <c r="T5" s="10"/>
    </row>
    <row r="6" spans="1:20" x14ac:dyDescent="0.25">
      <c r="A6" s="8" t="s">
        <v>13</v>
      </c>
      <c r="B6" s="8" t="s">
        <v>36</v>
      </c>
      <c r="D6" s="4">
        <v>45662</v>
      </c>
      <c r="E6" s="50">
        <v>5</v>
      </c>
      <c r="F6" s="10">
        <v>0</v>
      </c>
      <c r="G6" s="10">
        <v>46</v>
      </c>
      <c r="H6" s="10">
        <f t="shared" si="0"/>
        <v>1578.5</v>
      </c>
      <c r="I6" s="10"/>
      <c r="J6" s="4">
        <v>45668</v>
      </c>
      <c r="K6">
        <v>11</v>
      </c>
      <c r="L6" s="10">
        <v>-1300.8035714285716</v>
      </c>
      <c r="M6" s="10">
        <v>-150.82142857142856</v>
      </c>
      <c r="N6" s="10">
        <v>1291.8928571428571</v>
      </c>
      <c r="Q6">
        <v>5</v>
      </c>
      <c r="R6" s="4">
        <v>45662</v>
      </c>
      <c r="S6" s="10">
        <v>1578.5</v>
      </c>
      <c r="T6" s="10"/>
    </row>
    <row r="7" spans="1:20" x14ac:dyDescent="0.25">
      <c r="A7" s="8" t="s">
        <v>11</v>
      </c>
      <c r="B7" s="8" t="s">
        <v>36</v>
      </c>
      <c r="D7" s="4">
        <v>45663</v>
      </c>
      <c r="E7" s="50">
        <v>6</v>
      </c>
      <c r="F7" s="10">
        <v>0</v>
      </c>
      <c r="G7" s="10">
        <v>48</v>
      </c>
      <c r="H7" s="10">
        <f t="shared" si="0"/>
        <v>1530.5</v>
      </c>
      <c r="I7" s="10"/>
      <c r="J7" s="4">
        <v>45669</v>
      </c>
      <c r="K7">
        <v>12</v>
      </c>
      <c r="L7" s="10">
        <v>-1530.3571428571427</v>
      </c>
      <c r="M7" s="10">
        <v>-185.85714285714289</v>
      </c>
      <c r="N7" s="10">
        <v>1244.3571428571427</v>
      </c>
      <c r="Q7">
        <v>6</v>
      </c>
      <c r="R7" s="4">
        <v>45663</v>
      </c>
      <c r="S7" s="10">
        <v>1530.5</v>
      </c>
      <c r="T7" s="10"/>
    </row>
    <row r="8" spans="1:20" x14ac:dyDescent="0.25">
      <c r="A8" s="8" t="s">
        <v>12</v>
      </c>
      <c r="B8" s="8" t="s">
        <v>37</v>
      </c>
      <c r="D8" s="4">
        <v>45664</v>
      </c>
      <c r="E8" s="50">
        <v>7</v>
      </c>
      <c r="F8" s="10">
        <v>0</v>
      </c>
      <c r="G8" s="10">
        <v>49</v>
      </c>
      <c r="H8" s="10">
        <f t="shared" si="0"/>
        <v>1481.5</v>
      </c>
      <c r="I8" s="10"/>
      <c r="J8" s="4">
        <v>45670</v>
      </c>
      <c r="K8">
        <v>13</v>
      </c>
      <c r="L8" s="10">
        <v>-1759.9107142857142</v>
      </c>
      <c r="M8" s="10">
        <v>-220.89285714285717</v>
      </c>
      <c r="N8" s="10">
        <v>1196.8214285714284</v>
      </c>
      <c r="Q8">
        <v>7</v>
      </c>
      <c r="R8" s="4">
        <v>45664</v>
      </c>
      <c r="S8" s="10">
        <v>1481.5</v>
      </c>
      <c r="T8" s="10"/>
    </row>
    <row r="9" spans="1:20" x14ac:dyDescent="0.25">
      <c r="D9" s="4"/>
      <c r="E9" s="50"/>
      <c r="F9" s="10"/>
      <c r="G9" s="10"/>
      <c r="H9" s="10"/>
      <c r="J9" s="4"/>
      <c r="Q9">
        <v>7</v>
      </c>
      <c r="R9" s="4">
        <v>45664</v>
      </c>
      <c r="S9" s="10"/>
      <c r="T9" s="10" cm="1">
        <f t="array" ref="T9:T15">_xlfn.ANCHORARRAY(N2)</f>
        <v>1482.0357142857142</v>
      </c>
    </row>
    <row r="10" spans="1:20" x14ac:dyDescent="0.25">
      <c r="D10" s="4"/>
      <c r="E10" s="50"/>
      <c r="F10" s="10"/>
      <c r="G10" s="10"/>
      <c r="H10" s="10"/>
      <c r="J10" s="4"/>
      <c r="Q10">
        <v>8</v>
      </c>
      <c r="R10" s="4">
        <v>45665</v>
      </c>
      <c r="S10" s="10"/>
      <c r="T10" s="10">
        <v>1434.5</v>
      </c>
    </row>
    <row r="11" spans="1:20" x14ac:dyDescent="0.25">
      <c r="D11" s="4"/>
      <c r="E11" s="50"/>
      <c r="F11" s="10"/>
      <c r="G11" s="10"/>
      <c r="H11" s="10"/>
      <c r="J11" s="4"/>
      <c r="Q11">
        <v>9</v>
      </c>
      <c r="R11" s="4">
        <v>45666</v>
      </c>
      <c r="S11" s="10"/>
      <c r="T11" s="10">
        <v>1386.9642857142858</v>
      </c>
    </row>
    <row r="12" spans="1:20" x14ac:dyDescent="0.25">
      <c r="D12" s="4"/>
      <c r="E12" s="50"/>
      <c r="F12" s="10"/>
      <c r="G12" s="10"/>
      <c r="H12" s="10"/>
      <c r="J12" s="4"/>
      <c r="Q12">
        <v>10</v>
      </c>
      <c r="R12" s="4">
        <v>45667</v>
      </c>
      <c r="S12" s="10"/>
      <c r="T12" s="10">
        <v>1339.4285714285713</v>
      </c>
    </row>
    <row r="13" spans="1:20" x14ac:dyDescent="0.25">
      <c r="D13" s="4"/>
      <c r="E13" s="50"/>
      <c r="F13" s="10"/>
      <c r="G13" s="10"/>
      <c r="H13" s="10"/>
      <c r="J13" s="4"/>
      <c r="Q13">
        <v>11</v>
      </c>
      <c r="R13" s="4">
        <v>45668</v>
      </c>
      <c r="S13" s="10"/>
      <c r="T13" s="10">
        <v>1291.8928571428571</v>
      </c>
    </row>
    <row r="14" spans="1:20" x14ac:dyDescent="0.25">
      <c r="D14" s="4"/>
      <c r="E14" s="50"/>
      <c r="F14" s="10"/>
      <c r="G14" s="10"/>
      <c r="H14" s="10"/>
      <c r="J14" s="4"/>
      <c r="Q14">
        <v>12</v>
      </c>
      <c r="R14" s="4">
        <v>45669</v>
      </c>
      <c r="S14" s="10"/>
      <c r="T14" s="10">
        <v>1244.3571428571427</v>
      </c>
    </row>
    <row r="15" spans="1:20" x14ac:dyDescent="0.25">
      <c r="D15" s="4"/>
      <c r="E15" s="50"/>
      <c r="F15" s="10"/>
      <c r="G15" s="10"/>
      <c r="H15" s="10"/>
      <c r="J15" s="4"/>
      <c r="Q15">
        <v>13</v>
      </c>
      <c r="R15" s="4">
        <v>45670</v>
      </c>
      <c r="S15" s="10"/>
      <c r="T15" s="10">
        <v>1196.8214285714284</v>
      </c>
    </row>
    <row r="16" spans="1:20" x14ac:dyDescent="0.25">
      <c r="D16" s="4"/>
      <c r="E16" s="50"/>
      <c r="F16" s="10"/>
      <c r="G16" s="10"/>
      <c r="H16" s="10"/>
      <c r="J16" s="4"/>
    </row>
    <row r="17" spans="4:10" x14ac:dyDescent="0.25">
      <c r="D17" s="4"/>
      <c r="E17" s="50"/>
      <c r="F17" s="10"/>
      <c r="G17" s="10"/>
      <c r="H17" s="10"/>
      <c r="J17" s="4"/>
    </row>
    <row r="18" spans="4:10" x14ac:dyDescent="0.25">
      <c r="D18" s="4"/>
      <c r="E18" s="50"/>
      <c r="F18" s="10"/>
      <c r="G18" s="10"/>
      <c r="H18" s="10"/>
      <c r="J18" s="4"/>
    </row>
    <row r="19" spans="4:10" x14ac:dyDescent="0.25">
      <c r="D19" s="4"/>
      <c r="E19" s="50"/>
      <c r="F19" s="10"/>
      <c r="G19" s="10"/>
      <c r="H19" s="10"/>
      <c r="J19" s="4"/>
    </row>
    <row r="20" spans="4:10" x14ac:dyDescent="0.25">
      <c r="D20" s="4"/>
      <c r="E20" s="50"/>
      <c r="F20" s="10"/>
      <c r="G20" s="10"/>
      <c r="H20" s="10"/>
      <c r="J20" s="4"/>
    </row>
    <row r="21" spans="4:10" x14ac:dyDescent="0.25">
      <c r="D21" s="4"/>
      <c r="E21" s="50"/>
      <c r="F21" s="10"/>
      <c r="G21" s="10"/>
      <c r="H21" s="10"/>
      <c r="J21" s="4"/>
    </row>
    <row r="22" spans="4:10" x14ac:dyDescent="0.25">
      <c r="D22" s="4"/>
      <c r="E22" s="50"/>
      <c r="F22" s="10"/>
      <c r="G22" s="10"/>
      <c r="H22" s="10"/>
      <c r="J22" s="4"/>
    </row>
    <row r="23" spans="4:10" x14ac:dyDescent="0.25">
      <c r="D23" s="4"/>
      <c r="E23" s="50"/>
      <c r="F23" s="10"/>
      <c r="G23" s="10"/>
      <c r="H23" s="10"/>
      <c r="J23" s="4"/>
    </row>
    <row r="24" spans="4:10" x14ac:dyDescent="0.25">
      <c r="D24" s="4"/>
      <c r="E24" s="50"/>
      <c r="F24" s="10"/>
      <c r="G24" s="10"/>
      <c r="H24" s="10"/>
      <c r="J24" s="4"/>
    </row>
    <row r="25" spans="4:10" x14ac:dyDescent="0.25">
      <c r="D25" s="4"/>
      <c r="E25" s="50"/>
      <c r="F25" s="10"/>
      <c r="G25" s="10"/>
      <c r="H25" s="10"/>
      <c r="J25" s="4"/>
    </row>
    <row r="26" spans="4:10" x14ac:dyDescent="0.25">
      <c r="D26" s="4"/>
      <c r="E26" s="50"/>
      <c r="F26" s="10"/>
      <c r="G26" s="10"/>
      <c r="H26" s="10"/>
      <c r="J26" s="4"/>
    </row>
    <row r="27" spans="4:10" x14ac:dyDescent="0.25">
      <c r="D27" s="4"/>
      <c r="E27" s="50"/>
      <c r="F27" s="10"/>
      <c r="G27" s="10"/>
      <c r="H27" s="10"/>
      <c r="J27" s="4"/>
    </row>
    <row r="28" spans="4:10" x14ac:dyDescent="0.25">
      <c r="D28" s="4"/>
      <c r="E28" s="50"/>
      <c r="F28" s="10"/>
      <c r="G28" s="10"/>
      <c r="H28" s="10"/>
      <c r="J28" s="4"/>
    </row>
    <row r="29" spans="4:10" x14ac:dyDescent="0.25">
      <c r="D29" s="4"/>
      <c r="E29" s="50"/>
      <c r="F29" s="10"/>
      <c r="G29" s="10"/>
      <c r="H29" s="10"/>
      <c r="J29" s="4"/>
    </row>
    <row r="30" spans="4:10" x14ac:dyDescent="0.25">
      <c r="D30" s="4"/>
      <c r="E30" s="50"/>
      <c r="F30" s="10"/>
      <c r="G30" s="10"/>
      <c r="H30" s="10"/>
      <c r="J30" s="4"/>
    </row>
    <row r="31" spans="4:10" x14ac:dyDescent="0.25">
      <c r="D31" s="4"/>
      <c r="E31" s="50"/>
      <c r="F31" s="10"/>
      <c r="G31" s="10"/>
      <c r="H31" s="10"/>
      <c r="J31" s="4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E527D0-B6B1-4E41-A818-5C9169D01B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Example Data</vt:lpstr>
      <vt:lpstr>Example DashBoard</vt:lpstr>
      <vt:lpstr>Monthly data</vt:lpstr>
      <vt:lpstr>Transactions</vt:lpstr>
      <vt:lpstr>Summary</vt:lpstr>
      <vt:lpstr>Saving Goals</vt:lpstr>
      <vt:lpstr>Dashboard</vt:lpstr>
      <vt:lpstr>Resources</vt:lpstr>
      <vt:lpstr>Assets</vt:lpstr>
      <vt:lpstr>Date_range</vt:lpstr>
      <vt:lpstr>date_txn</vt:lpstr>
      <vt:lpstr>dateIndex</vt:lpstr>
      <vt:lpstr>Day_num</vt:lpstr>
      <vt:lpstr>net_expense</vt:lpstr>
      <vt:lpstr>net_income</vt:lpstr>
      <vt:lpstr>net_profit</vt:lpstr>
      <vt:lpstr>Orglist</vt:lpstr>
      <vt:lpstr>Transactions_Table</vt:lpstr>
      <vt:lpstr>Txn_Cat_list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Razul Pradhan</dc:creator>
  <cp:lastModifiedBy>Razul Pradhan</cp:lastModifiedBy>
  <dcterms:created xsi:type="dcterms:W3CDTF">2025-06-30T08:44:00Z</dcterms:created>
  <dcterms:modified xsi:type="dcterms:W3CDTF">2026-01-10T04:04:10Z</dcterms:modified>
</cp:coreProperties>
</file>
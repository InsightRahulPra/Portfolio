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trlProps/ctrlProp1.xml" ContentType="application/vnd.ms-excel.controlproperties+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razul\Downloads\Click consulting\For GIthub Uploads\Excel Projects\Real Estate Tracker\"/>
    </mc:Choice>
  </mc:AlternateContent>
  <xr:revisionPtr revIDLastSave="0" documentId="13_ncr:1_{4781E150-CD53-401C-BD9E-BE36A7ECF865}" xr6:coauthVersionLast="47" xr6:coauthVersionMax="47" xr10:uidLastSave="{00000000-0000-0000-0000-000000000000}"/>
  <bookViews>
    <workbookView xWindow="28680" yWindow="-120" windowWidth="29040" windowHeight="15720" activeTab="5" xr2:uid="{9C586BBC-C9FE-4587-A08E-E8CD251BFCB4}"/>
  </bookViews>
  <sheets>
    <sheet name="Hurstville" sheetId="2" r:id="rId1"/>
    <sheet name="Parramatta" sheetId="3" r:id="rId2"/>
    <sheet name="Combined" sheetId="4" r:id="rId3"/>
    <sheet name="Sheet1" sheetId="6" r:id="rId4"/>
    <sheet name="Pivot" sheetId="5" r:id="rId5"/>
    <sheet name="Dashboard" sheetId="1" r:id="rId6"/>
  </sheets>
  <definedNames>
    <definedName name="_xlcn.WorksheetConnection_realestate1version1.xlsbCombined1" hidden="1">Combined[]</definedName>
    <definedName name="ExternalData_1" localSheetId="0" hidden="1">Hurstville!$A$1:$P$51</definedName>
    <definedName name="ExternalData_2" localSheetId="2" hidden="1">'Combined'!$A$1:$Q$97</definedName>
    <definedName name="ExternalData_2" localSheetId="1" hidden="1">Parramatta!$A$1:$P$51</definedName>
    <definedName name="Slicer_Suburb">#N/A</definedName>
    <definedName name="Slicer_Suburb1">#N/A</definedName>
    <definedName name="Slicer_Type">#N/A</definedName>
    <definedName name="Slicer_Type1">#N/A</definedName>
  </definedNames>
  <calcPr calcId="191029"/>
  <pivotCaches>
    <pivotCache cacheId="0" r:id="rId7"/>
    <pivotCache cacheId="1" r:id="rId8"/>
    <pivotCache cacheId="2" r:id="rId9"/>
  </pivotCaches>
  <extLst>
    <ext xmlns:x14="http://schemas.microsoft.com/office/spreadsheetml/2009/9/main" uri="{876F7934-8845-4945-9796-88D515C7AA90}">
      <x14:pivotCaches>
        <pivotCache cacheId="3"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mbined" name="Combined" connection="WorksheetConnection_realestate1 (version 1).xlsb!Combine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 i="4" l="1" a="1"/>
  <c r="AD3" i="4"/>
  <c r="AD4" i="4" a="1"/>
  <c r="AD4" i="4"/>
  <c r="AD5" i="4" a="1"/>
  <c r="AD5" i="4"/>
  <c r="AD6" i="4" a="1"/>
  <c r="AD6" i="4"/>
  <c r="AD7" i="4" a="1"/>
  <c r="AD7" i="4"/>
  <c r="AD8" i="4" a="1"/>
  <c r="AD8" i="4"/>
  <c r="AD2" i="4" a="1"/>
  <c r="AD2" i="4" s="1"/>
  <c r="AB2" i="4" a="1"/>
  <c r="AB2" i="4" s="1"/>
  <c r="AA11" i="4" a="1"/>
  <c r="AA11" i="4" s="1"/>
  <c r="AD11" i="4" s="1"/>
  <c r="AB3" i="4" a="1"/>
  <c r="AB3" i="4" s="1"/>
  <c r="AC3" i="4"/>
  <c r="AC4" i="4"/>
  <c r="AC5" i="4"/>
  <c r="AC6" i="4"/>
  <c r="AC7" i="4"/>
  <c r="AC8" i="4"/>
  <c r="AC2" i="4"/>
  <c r="AB4" i="4" a="1"/>
  <c r="AB4" i="4"/>
  <c r="AB5" i="4" a="1"/>
  <c r="AB5" i="4" s="1"/>
  <c r="AB6" i="4" a="1"/>
  <c r="AB6" i="4" s="1"/>
  <c r="AB7" i="4" a="1"/>
  <c r="AB7" i="4" s="1"/>
  <c r="AB8" i="4" a="1"/>
  <c r="AB8" i="4"/>
  <c r="AA2" i="4" a="1"/>
  <c r="AA2" i="4" s="1"/>
  <c r="AC11" i="4" l="1"/>
  <c r="AB1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EA2990-F324-47D8-B5C0-D791E4587008}" keepAlive="1" name="Query - Combined" description="Connection to the 'Combined' query in the workbook." type="5" refreshedVersion="8" background="1" saveData="1">
    <dbPr connection="Provider=Microsoft.Mashup.OleDb.1;Data Source=$Workbook$;Location=Combined;Extended Properties=&quot;&quot;" command="SELECT * FROM [Combined]"/>
  </connection>
  <connection id="2" xr16:uid="{8EEF4BBD-86DA-47BE-91B8-E2D79FB77BDB}" keepAlive="1" name="Query - Hurstville" description="Connection to the 'Hurstville' query in the workbook." type="5" refreshedVersion="8" background="1" saveData="1">
    <dbPr connection="Provider=Microsoft.Mashup.OleDb.1;Data Source=$Workbook$;Location=Hurstville;Extended Properties=&quot;&quot;" command="SELECT * FROM [Hurstville]"/>
  </connection>
  <connection id="3" xr16:uid="{6C0E8DF2-EF53-4E87-80F8-5D7217935A0E}" keepAlive="1" name="Query - Parramatta" description="Connection to the 'Parramatta' query in the workbook." type="5" refreshedVersion="8" background="1" saveData="1">
    <dbPr connection="Provider=Microsoft.Mashup.OleDb.1;Data Source=$Workbook$;Location=Parramatta;Extended Properties=&quot;&quot;" command="SELECT * FROM [Parramatta]"/>
  </connection>
  <connection id="4" xr16:uid="{69DBF8CF-22F2-44A4-8BF9-50254E922A3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7617D53B-DB71-4F51-A33E-B81C0A2BE534}" name="WorksheetConnection_realestate1 (version 1).xlsb!Combined" type="102" refreshedVersion="8" minRefreshableVersion="5">
    <extLst>
      <ext xmlns:x15="http://schemas.microsoft.com/office/spreadsheetml/2010/11/main" uri="{DE250136-89BD-433C-8126-D09CA5730AF9}">
        <x15:connection id="Combined" autoDelete="1">
          <x15:rangePr sourceName="_xlcn.WorksheetConnection_realestate1version1.xlsbCombined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5">
    <s v="ThisWorkbookDataModel"/>
    <s v="{[Combined].[Bathroom].[All]}"/>
    <s v="{[Combined].[Bedroom].[All]}"/>
    <s v="{[Combined].[Parking].[All]}"/>
    <s v="{[Combined].[Type].[All]}"/>
  </metadataStrings>
  <mdxMetadata count="4">
    <mdx n="0" f="s">
      <ms ns="1" c="0"/>
    </mdx>
    <mdx n="0" f="s">
      <ms ns="2" c="0"/>
    </mdx>
    <mdx n="0" f="s">
      <ms ns="3" c="0"/>
    </mdx>
    <mdx n="0" f="s">
      <ms ns="4" c="0"/>
    </mdx>
  </mdxMetadata>
  <futureMetadata name="XLDAPR" count="1">
    <bk>
      <extLst>
        <ext uri="{bdbb8cdc-fa1e-496e-a857-3c3f30c029c3}">
          <xda:dynamicArrayProperties fDynamic="1" fCollapsed="0"/>
        </ext>
      </extLst>
    </bk>
  </futureMetadata>
  <cellMetadata count="1">
    <bk>
      <rc t="2" v="0"/>
    </bk>
  </cellMetadata>
  <valueMetadata count="4">
    <bk>
      <rc t="1" v="0"/>
    </bk>
    <bk>
      <rc t="1" v="1"/>
    </bk>
    <bk>
      <rc t="1" v="2"/>
    </bk>
    <bk>
      <rc t="1" v="3"/>
    </bk>
  </valueMetadata>
</metadata>
</file>

<file path=xl/sharedStrings.xml><?xml version="1.0" encoding="utf-8"?>
<sst xmlns="http://schemas.openxmlformats.org/spreadsheetml/2006/main" count="2691" uniqueCount="477">
  <si>
    <t>Price</t>
  </si>
  <si>
    <t>Address</t>
  </si>
  <si>
    <t>Suburb</t>
  </si>
  <si>
    <t>Postal_code</t>
  </si>
  <si>
    <t>Type</t>
  </si>
  <si>
    <t>Agency</t>
  </si>
  <si>
    <t>Condition</t>
  </si>
  <si>
    <t>Bedroom</t>
  </si>
  <si>
    <t>Bathroom</t>
  </si>
  <si>
    <t>state</t>
  </si>
  <si>
    <t>Parking</t>
  </si>
  <si>
    <t>Agent</t>
  </si>
  <si>
    <t>Pictures</t>
  </si>
  <si>
    <t>Listing_date</t>
  </si>
  <si>
    <t>OpenHouse</t>
  </si>
  <si>
    <t>sold - $830,000</t>
  </si>
  <si>
    <t>502/33-35 Treacy Street</t>
  </si>
  <si>
    <t>Hurstville</t>
  </si>
  <si>
    <t>Apartment</t>
  </si>
  <si>
    <t>LINK REALTY INTERNATIONAL PTY LIMITED</t>
  </si>
  <si>
    <t>NSW</t>
  </si>
  <si>
    <t>Renee Robertshaw &amp; Tom McIvor</t>
  </si>
  <si>
    <t>unavailable</t>
  </si>
  <si>
    <t>No</t>
  </si>
  <si>
    <t>sold - $790,000</t>
  </si>
  <si>
    <t>404/33-35 Treacy Street</t>
  </si>
  <si>
    <t>price guide: $1,500,000</t>
  </si>
  <si>
    <t>202/34 Millett Street</t>
  </si>
  <si>
    <t>HT Wills Real Estate St George</t>
  </si>
  <si>
    <t>Steve Mishevski &amp; John Sarigiannis</t>
  </si>
  <si>
    <t>price guide $880,000</t>
  </si>
  <si>
    <t>104/89-93 Railway Parade</t>
  </si>
  <si>
    <t>Mortdale</t>
  </si>
  <si>
    <t>Ausrealty</t>
  </si>
  <si>
    <t>Daniel Sutarov &amp; Daniel Tonkonogy</t>
  </si>
  <si>
    <t>price guide $1,900,000 to $2,000,000</t>
  </si>
  <si>
    <t>22 Keith Street</t>
  </si>
  <si>
    <t>Peakhurst</t>
  </si>
  <si>
    <t>House</t>
  </si>
  <si>
    <t>Hani Obeid &amp; Narz Sayed</t>
  </si>
  <si>
    <t>Yes</t>
  </si>
  <si>
    <t>price guide $ 700k - $740k</t>
  </si>
  <si>
    <t>1910/12 Jack Brabham Drive</t>
  </si>
  <si>
    <t>PropertyOne Real Estate</t>
  </si>
  <si>
    <t>Khan Hossain &amp; Abdullah Jubaer</t>
  </si>
  <si>
    <t>price $710,000</t>
  </si>
  <si>
    <t>71/12 Dora Street</t>
  </si>
  <si>
    <t>McGrath Estate Agents South Hurstville</t>
  </si>
  <si>
    <t>Linda Yu &amp; Daniel Yang</t>
  </si>
  <si>
    <t>offers welcome - guide $1,850,000</t>
  </si>
  <si>
    <t>20 Denison Street</t>
  </si>
  <si>
    <t>Penshurst</t>
  </si>
  <si>
    <t>Gavan Property</t>
  </si>
  <si>
    <t>Daniel Gavan &amp; Cecily Zhu</t>
  </si>
  <si>
    <t>offers $1,550,000 to $1,650,000</t>
  </si>
  <si>
    <t>10 Edna Avenue</t>
  </si>
  <si>
    <t>PRD OATLEY</t>
  </si>
  <si>
    <t>Jacob Georgievski &amp; Mario Trivor</t>
  </si>
  <si>
    <t>must be sold: $595,000 - $650,000</t>
  </si>
  <si>
    <t>505/11D Mashman Avenue</t>
  </si>
  <si>
    <t>Kingsgrove</t>
  </si>
  <si>
    <t>Ray White Earlwood l Wolli Creek</t>
  </si>
  <si>
    <t>Joseph Safetly &amp; Manal Younes</t>
  </si>
  <si>
    <t>for sale $1,800,000</t>
  </si>
  <si>
    <t>171a Croydon Road</t>
  </si>
  <si>
    <t>McGrath - St George</t>
  </si>
  <si>
    <t>Linda Yu &amp; Kahili Lynch</t>
  </si>
  <si>
    <t>Duplex</t>
  </si>
  <si>
    <t>for sale $1,400,000 - $1,500,000</t>
  </si>
  <si>
    <t>1051 Forest Road</t>
  </si>
  <si>
    <t>Lugarno</t>
  </si>
  <si>
    <t>McGrath Oatley</t>
  </si>
  <si>
    <t>New</t>
  </si>
  <si>
    <t>Aaron Purches &amp; Joshua Smyth</t>
  </si>
  <si>
    <t>for sale | $915,000</t>
  </si>
  <si>
    <t>305/15 Jack Brabham  Drive</t>
  </si>
  <si>
    <t>Belle Property St George</t>
  </si>
  <si>
    <t>Haris Softic &amp; Kristina Lee</t>
  </si>
  <si>
    <t>for sale - by offers. buyers guide $1,950,000</t>
  </si>
  <si>
    <t>106 Lugarno Parade</t>
  </si>
  <si>
    <t>Daniel Gavan &amp; Andrew Taylor</t>
  </si>
  <si>
    <t>Beverly Hills</t>
  </si>
  <si>
    <t>for sale - $2,350,000 - $2,450,000</t>
  </si>
  <si>
    <t>2A Killara Avenue</t>
  </si>
  <si>
    <t>Stone Real Estate Earlwood</t>
  </si>
  <si>
    <t>Michael Alidenes &amp; George Karafotias</t>
  </si>
  <si>
    <t>for sale $790,000 - $860,000</t>
  </si>
  <si>
    <t>2/53-61 Wright Street</t>
  </si>
  <si>
    <t>Vicky Weizhen Mi</t>
  </si>
  <si>
    <t>for sale $739,000</t>
  </si>
  <si>
    <t>15/38-40 Lawrence Street</t>
  </si>
  <si>
    <t>Property Place Agency</t>
  </si>
  <si>
    <t>Sarah Sevdalis</t>
  </si>
  <si>
    <t>for sale $599,000</t>
  </si>
  <si>
    <t>404/2 Barratt Street</t>
  </si>
  <si>
    <t>Ray White Hurstville</t>
  </si>
  <si>
    <t>Alyssa Liao &amp; Tina La Macchia</t>
  </si>
  <si>
    <t>for sale $1,299,000</t>
  </si>
  <si>
    <t>565 King Georges Road</t>
  </si>
  <si>
    <t>Jerry Kurzveil &amp; Steve Mishevski</t>
  </si>
  <si>
    <t>for sale | $1,380,000</t>
  </si>
  <si>
    <t>9A Kims Avenue</t>
  </si>
  <si>
    <t>Ian Ludlam &amp; Marcus Anevski</t>
  </si>
  <si>
    <t>for sale - $1,050,000</t>
  </si>
  <si>
    <t>8/56 Oatley Parade</t>
  </si>
  <si>
    <t>Oatley</t>
  </si>
  <si>
    <t>Villa</t>
  </si>
  <si>
    <t>Ian Ludlam &amp; James Walters</t>
  </si>
  <si>
    <t>auction 30/08/25</t>
  </si>
  <si>
    <t>780-782 King Georges Road</t>
  </si>
  <si>
    <t>McGrath Sans Souci</t>
  </si>
  <si>
    <t>Linda Yu &amp; Anthony Pearson</t>
  </si>
  <si>
    <t>$950,000</t>
  </si>
  <si>
    <t>205/23-31 Treacy Street</t>
  </si>
  <si>
    <t>Xing Wang Property Real Estate</t>
  </si>
  <si>
    <t>TIM WANG</t>
  </si>
  <si>
    <t>$938,000</t>
  </si>
  <si>
    <t>612/21 Treacy Street</t>
  </si>
  <si>
    <t>S K Real Estate</t>
  </si>
  <si>
    <t>Marco Kwong &amp; Sherman Kwong</t>
  </si>
  <si>
    <t>$920,000</t>
  </si>
  <si>
    <t>Forest Road</t>
  </si>
  <si>
    <t>ELITE REALPROPERTY PTY LTD</t>
  </si>
  <si>
    <t>Lily Tsui &amp; Stephen Lai</t>
  </si>
  <si>
    <t>$919,950</t>
  </si>
  <si>
    <t>501/1 Ellen Subway</t>
  </si>
  <si>
    <t>Ray White Punchbowl</t>
  </si>
  <si>
    <t>Julia Zeinoun</t>
  </si>
  <si>
    <t>$899000</t>
  </si>
  <si>
    <t>L15, 1503/23-31 Treacy  Street</t>
  </si>
  <si>
    <t>Key Asset Real Estate -Sydney</t>
  </si>
  <si>
    <t>Henry Ng</t>
  </si>
  <si>
    <t>$895,000</t>
  </si>
  <si>
    <t>311/15 Jack Brabham Drive</t>
  </si>
  <si>
    <t>Morton Riverwood</t>
  </si>
  <si>
    <t>Nada Fayad</t>
  </si>
  <si>
    <t>$828,000</t>
  </si>
  <si>
    <t>1215/99A Forest Road</t>
  </si>
  <si>
    <t>Auswin Property</t>
  </si>
  <si>
    <t>Winnie Huang</t>
  </si>
  <si>
    <t>$780,000 - $820,000</t>
  </si>
  <si>
    <t>4/75 Lawrence Street</t>
  </si>
  <si>
    <t>Michael Curtis &amp; Alyssa Liao</t>
  </si>
  <si>
    <t>$749,000</t>
  </si>
  <si>
    <t>36/1 Alfred Street</t>
  </si>
  <si>
    <t>Alyssa Liao &amp; Michael Curtis</t>
  </si>
  <si>
    <t>$739,500</t>
  </si>
  <si>
    <t>102/11D Mashman Avenue</t>
  </si>
  <si>
    <t>Ray White Kingsgrove, Bexley North &amp; Beverly Hills</t>
  </si>
  <si>
    <t>Karl Flaifel &amp; George Boghos</t>
  </si>
  <si>
    <t>$739,000</t>
  </si>
  <si>
    <t>205/11d Mashman Avenue</t>
  </si>
  <si>
    <t>$700,000 - $750,000</t>
  </si>
  <si>
    <t>310/458 Forest Road</t>
  </si>
  <si>
    <t>$659,000</t>
  </si>
  <si>
    <t>707/1D Greenbank St</t>
  </si>
  <si>
    <t>Yuans Real Estate</t>
  </si>
  <si>
    <t>Stephen Yuan</t>
  </si>
  <si>
    <t>$658,000</t>
  </si>
  <si>
    <t>613/21 Treacy Street</t>
  </si>
  <si>
    <t>$3,400,000 - $3,500,000</t>
  </si>
  <si>
    <t>4 Beatrice Street</t>
  </si>
  <si>
    <t>Michael Curtis &amp; (Allen) Lijing Yan</t>
  </si>
  <si>
    <t>$2,075,000 - $2,175,000</t>
  </si>
  <si>
    <t>12 Ballantyne Road</t>
  </si>
  <si>
    <t>Ray White Georges River</t>
  </si>
  <si>
    <t>Fraser Glen &amp; Jorja Blanch</t>
  </si>
  <si>
    <t>$1.09m to $1.15m</t>
  </si>
  <si>
    <t>4/541 King Georges Road</t>
  </si>
  <si>
    <t>Townhouse</t>
  </si>
  <si>
    <t>Sydney Property academy</t>
  </si>
  <si>
    <t>Roy Hwang &amp; Ian Cha</t>
  </si>
  <si>
    <t>$1,900,000 to $2,000,000</t>
  </si>
  <si>
    <t>(no street name provided)</t>
  </si>
  <si>
    <t>Century 21 OzGroup Projects</t>
  </si>
  <si>
    <t>Yolanda (Dandan) ZOU &amp; Jacky (Xinliang) Yang</t>
  </si>
  <si>
    <t>$1,470,000</t>
  </si>
  <si>
    <t>13/528 Forest Road</t>
  </si>
  <si>
    <t>Henderson Realty</t>
  </si>
  <si>
    <t>Cecilia (Xue Yuan) Chen &amp; David (Feng) Yao</t>
  </si>
  <si>
    <t>$1,435,000</t>
  </si>
  <si>
    <t>2007/1D Greenbank Street</t>
  </si>
  <si>
    <t>HOME789</t>
  </si>
  <si>
    <t>Yin Ho Wong &amp; Jimmy Pei-ru Wu</t>
  </si>
  <si>
    <t>Sydney Boutique Property</t>
  </si>
  <si>
    <t>$1,125,000</t>
  </si>
  <si>
    <t>1907/1D Greenbank Street</t>
  </si>
  <si>
    <t>HOME info &amp; HOME info</t>
  </si>
  <si>
    <t>$1,090,000 to $1,199,000</t>
  </si>
  <si>
    <t>24/2A Cross Street</t>
  </si>
  <si>
    <t>buymyplace</t>
  </si>
  <si>
    <t>buymyplace .</t>
  </si>
  <si>
    <t>Auction</t>
  </si>
  <si>
    <t>$3,600,000</t>
  </si>
  <si>
    <t>42 &amp; 44 Station Street East</t>
  </si>
  <si>
    <t>Harris Park</t>
  </si>
  <si>
    <t>Vikram Jeet &amp; Steven Fan</t>
  </si>
  <si>
    <t>Ray White Parramatta/Oatlands/Northmead</t>
  </si>
  <si>
    <t>For sale - $2,995,000</t>
  </si>
  <si>
    <t>147A Ray Road</t>
  </si>
  <si>
    <t>Epping</t>
  </si>
  <si>
    <t>Betty Ockerlander &amp; Grace Zhang</t>
  </si>
  <si>
    <t>McGrath Epping</t>
  </si>
  <si>
    <t>$2,995,000</t>
  </si>
  <si>
    <t>2,880,000</t>
  </si>
  <si>
    <t>59 Midson Road</t>
  </si>
  <si>
    <t>Cameron  Langley</t>
  </si>
  <si>
    <t>Cameron Langley Real Estate</t>
  </si>
  <si>
    <t>Guide $2,850,000</t>
  </si>
  <si>
    <t>13 Hammers Road</t>
  </si>
  <si>
    <t>Northmead</t>
  </si>
  <si>
    <t>Ashton Beukers &amp; Brittany  Beukers</t>
  </si>
  <si>
    <t>Stone Real Estate Northmead</t>
  </si>
  <si>
    <t>$2,850,000</t>
  </si>
  <si>
    <t>$2,650,000</t>
  </si>
  <si>
    <t>73 High Street</t>
  </si>
  <si>
    <t>Parramatta</t>
  </si>
  <si>
    <t>Azzam Derbas</t>
  </si>
  <si>
    <t>D &amp; D Real Estate</t>
  </si>
  <si>
    <t>Other</t>
  </si>
  <si>
    <t>$2,500,000</t>
  </si>
  <si>
    <t>24 Albion Street</t>
  </si>
  <si>
    <t>$2,300,000 - $2,500,000</t>
  </si>
  <si>
    <t>32 St Aidans Avenue</t>
  </si>
  <si>
    <t>Oatlands</t>
  </si>
  <si>
    <t>Dean Muriti</t>
  </si>
  <si>
    <t>Louis Carr Hills District</t>
  </si>
  <si>
    <t>$2,300,000</t>
  </si>
  <si>
    <t>$2,200,000 - $2,250,000</t>
  </si>
  <si>
    <t>12 Broughton  Street</t>
  </si>
  <si>
    <t>Guildford</t>
  </si>
  <si>
    <t>Joseph Nasr &amp; Anthony Rizk</t>
  </si>
  <si>
    <t>LJ Hooker Parramatta | Granville | Guildford | Merrylands</t>
  </si>
  <si>
    <t>$2,200,000</t>
  </si>
  <si>
    <t>$2,100,000</t>
  </si>
  <si>
    <t>6A Queens Avenue</t>
  </si>
  <si>
    <t>Joseph Casalicchio &amp; Sandro Musumeci</t>
  </si>
  <si>
    <t>NSW Realty</t>
  </si>
  <si>
    <t>$2,000,000 - $2,500,000</t>
  </si>
  <si>
    <t>25 Louis Street</t>
  </si>
  <si>
    <t>Granville</t>
  </si>
  <si>
    <t>Land</t>
  </si>
  <si>
    <t>Joe Bechara &amp; Soon Tee</t>
  </si>
  <si>
    <t>$2,000,000</t>
  </si>
  <si>
    <t>Price Guide $2,000,000 - $2,150,000</t>
  </si>
  <si>
    <t>11 Rickard Street</t>
  </si>
  <si>
    <t>Ramin Rahimi &amp; Matt Carpenter</t>
  </si>
  <si>
    <t>Starr Partners Merrylands</t>
  </si>
  <si>
    <t>$1 999 000 - Duplex - Studio - Granny Flat</t>
  </si>
  <si>
    <t>14A Cecil Street</t>
  </si>
  <si>
    <t>Gihad Chami &amp; Sales Team</t>
  </si>
  <si>
    <t>C &amp; A Real Estate</t>
  </si>
  <si>
    <t>$1 999 000</t>
  </si>
  <si>
    <t>Price Guide $1,950,000 - $2,145,000</t>
  </si>
  <si>
    <t>55 Cardigan Street</t>
  </si>
  <si>
    <t>Matt Carpenter</t>
  </si>
  <si>
    <t>Sat 23 Aug, 4:00 PM</t>
  </si>
  <si>
    <t>$1,950,000</t>
  </si>
  <si>
    <t>For Sale - $1,950,000</t>
  </si>
  <si>
    <t>76 Rosebery Road</t>
  </si>
  <si>
    <t>Alexander Sallit</t>
  </si>
  <si>
    <t>Buyer guide $1,900,000</t>
  </si>
  <si>
    <t>1 Sinfield Street</t>
  </si>
  <si>
    <t>Ermington</t>
  </si>
  <si>
    <t>Nick Matulic</t>
  </si>
  <si>
    <t>Ray White The Ryde Group</t>
  </si>
  <si>
    <t>$1,900,000</t>
  </si>
  <si>
    <t>Price Guide $1,900,000 - $1,950,000</t>
  </si>
  <si>
    <t>12 Tristram  Street</t>
  </si>
  <si>
    <t>Joseph Nasr &amp; Joe Guida</t>
  </si>
  <si>
    <t>For Sale: $1,900,000 - $2,090,000</t>
  </si>
  <si>
    <t>15 Bolton Street</t>
  </si>
  <si>
    <t>Fred Nazari</t>
  </si>
  <si>
    <t>Price Guide | $1,825,000 - $1,875,000</t>
  </si>
  <si>
    <t>7 Morven Street</t>
  </si>
  <si>
    <t>Hassan Derbas &amp; Jordan Laoulach</t>
  </si>
  <si>
    <t>Riverbank Real Estate</t>
  </si>
  <si>
    <t>Offer</t>
  </si>
  <si>
    <t>$1,825,000</t>
  </si>
  <si>
    <t>$1,820,000 - $1,870,000</t>
  </si>
  <si>
    <t>43 Hammers Road</t>
  </si>
  <si>
    <t>Justin Spencer &amp; Raymond  Khadi</t>
  </si>
  <si>
    <t>Belle Property Parramatta</t>
  </si>
  <si>
    <t>$1,820,000</t>
  </si>
  <si>
    <t>Auction 13/09/25</t>
  </si>
  <si>
    <t>215 Midson Road</t>
  </si>
  <si>
    <t>Betty Ockerlander &amp; Cassie Lu</t>
  </si>
  <si>
    <t>Buyer's Guide: $1,800,000</t>
  </si>
  <si>
    <t>25 Murray Street</t>
  </si>
  <si>
    <t>North Parramatta</t>
  </si>
  <si>
    <t>Alfredo De Assis</t>
  </si>
  <si>
    <t>Rana Property Group</t>
  </si>
  <si>
    <t>$1,800,000</t>
  </si>
  <si>
    <t>$1,800,000-$1,850,000</t>
  </si>
  <si>
    <t>129 Woodville Road</t>
  </si>
  <si>
    <t>Lynn Chen &amp; Ayhan Emeli</t>
  </si>
  <si>
    <t>Waters &amp; Carpenter First National</t>
  </si>
  <si>
    <t>For Sale: $1,768,000</t>
  </si>
  <si>
    <t>21 Mackay Road</t>
  </si>
  <si>
    <t>Soon Tee</t>
  </si>
  <si>
    <t>$1,768,000</t>
  </si>
  <si>
    <t>$1.75M - $1.85M</t>
  </si>
  <si>
    <t>9 Bettington Road</t>
  </si>
  <si>
    <t>Ramez Riad &amp; Jason Guan</t>
  </si>
  <si>
    <t>Hunters Agency &amp; Co Parramatta</t>
  </si>
  <si>
    <t>$1,750,000-$1,850,000</t>
  </si>
  <si>
    <t>173 Park Road</t>
  </si>
  <si>
    <t>Dundas</t>
  </si>
  <si>
    <t>Sandy Shi &amp; Alex (Yinqiu) Cheng</t>
  </si>
  <si>
    <t>Maison Bridge Property</t>
  </si>
  <si>
    <t>$1,750,000</t>
  </si>
  <si>
    <t>$1,650,000 - $1,700,000</t>
  </si>
  <si>
    <t>17 Chiltern Road</t>
  </si>
  <si>
    <t>Chris Kaltoum &amp; Ashton Jafarian</t>
  </si>
  <si>
    <t>National Real Estate</t>
  </si>
  <si>
    <t>$1,650,000</t>
  </si>
  <si>
    <t>For Sale: $1,650,000</t>
  </si>
  <si>
    <t>213 Excelsior Street</t>
  </si>
  <si>
    <t>Steven Khawam</t>
  </si>
  <si>
    <t>3 bedroom from $1,600,000</t>
  </si>
  <si>
    <t>Terence Lee</t>
  </si>
  <si>
    <t>OXBRIDGE GLOBAL REAL ESTATE</t>
  </si>
  <si>
    <t>$1,600,000</t>
  </si>
  <si>
    <t>$1,600,000 to $1,700,000</t>
  </si>
  <si>
    <t>338 Blaxcell Street</t>
  </si>
  <si>
    <t>South Granville</t>
  </si>
  <si>
    <t>Joe Salah</t>
  </si>
  <si>
    <t>CIA Real Estate - Auburn</t>
  </si>
  <si>
    <t>$1,600,000 to $1,650,000</t>
  </si>
  <si>
    <t>39a Glenn Ave</t>
  </si>
  <si>
    <t>Lisa Hardy</t>
  </si>
  <si>
    <t>Pam Easson Real Estate</t>
  </si>
  <si>
    <t>Price guide $1,550,000</t>
  </si>
  <si>
    <t>18 Perry Street</t>
  </si>
  <si>
    <t>Dundas Valley</t>
  </si>
  <si>
    <t>Tom Chan &amp; Tim Yunsheng CHENG</t>
  </si>
  <si>
    <t>Chain Real Estate</t>
  </si>
  <si>
    <t>$1,550,000</t>
  </si>
  <si>
    <t>$1,500,000</t>
  </si>
  <si>
    <t>14 Orchid Road</t>
  </si>
  <si>
    <t>Soon Tee &amp; Ronica Leung</t>
  </si>
  <si>
    <t>1 Chamberlain Road</t>
  </si>
  <si>
    <t>Joelle Achi &amp; Sofia Makdissi</t>
  </si>
  <si>
    <t>Morning Property</t>
  </si>
  <si>
    <t>$1,495,000</t>
  </si>
  <si>
    <t>24 Lennox Street</t>
  </si>
  <si>
    <t>Old Toongabbie</t>
  </si>
  <si>
    <t>Joseph Nasr</t>
  </si>
  <si>
    <t>Guide $1,490,000</t>
  </si>
  <si>
    <t>39 Lodge Ave</t>
  </si>
  <si>
    <t>Tommy Ha &amp; Allana Kazzi</t>
  </si>
  <si>
    <t>Raine &amp; Horne Parramatta</t>
  </si>
  <si>
    <t>$1,490,000</t>
  </si>
  <si>
    <t>FOR SALE | $1,400,000-$1,500,000</t>
  </si>
  <si>
    <t>1 Hewlett Street</t>
  </si>
  <si>
    <t>Ken (Hiroyoshi) Miyagawa</t>
  </si>
  <si>
    <t>Richard Matthews Real Estate</t>
  </si>
  <si>
    <t>$1,400,000</t>
  </si>
  <si>
    <t>For sale - $1,395,000</t>
  </si>
  <si>
    <t>5/22 Grandview Street</t>
  </si>
  <si>
    <t>Jackie Wang &amp; Gautier Lam</t>
  </si>
  <si>
    <t>Hudson McHugh</t>
  </si>
  <si>
    <t>$1,395,000</t>
  </si>
  <si>
    <t>Guide $1,395,000</t>
  </si>
  <si>
    <t>23 Tennyson Parade</t>
  </si>
  <si>
    <t>Anita Mirosevic &amp; Sam Dehaiby</t>
  </si>
  <si>
    <t>McGrath Parramatta</t>
  </si>
  <si>
    <t>$1,390,000</t>
  </si>
  <si>
    <t>2/188 Pennant  Street</t>
  </si>
  <si>
    <t>Team Aaron X Rowan &amp; Sandra Aquilina</t>
  </si>
  <si>
    <t>2 bedroom from $1,200,000</t>
  </si>
  <si>
    <t>$1,200,000</t>
  </si>
  <si>
    <t>59 Salisbury  Road</t>
  </si>
  <si>
    <t>Guide $1,200,000</t>
  </si>
  <si>
    <t>3/5 Anderson Road</t>
  </si>
  <si>
    <t>Arthur Kolovos &amp; Sam Dalgliesh</t>
  </si>
  <si>
    <t>Price Guide $1,200,000</t>
  </si>
  <si>
    <t>803/36-38 Oxford Street</t>
  </si>
  <si>
    <t>Nino Tang &amp; Amelia Chu</t>
  </si>
  <si>
    <t>Golden Peak Property</t>
  </si>
  <si>
    <t>Guide | $1,195,000</t>
  </si>
  <si>
    <t>10/176 Ray Road</t>
  </si>
  <si>
    <t>Jackson Wong</t>
  </si>
  <si>
    <t>McGrath Ryde</t>
  </si>
  <si>
    <t>$1,195,000</t>
  </si>
  <si>
    <t>$1,165,000</t>
  </si>
  <si>
    <t>83 Church Street</t>
  </si>
  <si>
    <t>Eddy Ng &amp; Alan Ka Fai Chan</t>
  </si>
  <si>
    <t>Apex Investment Alliance</t>
  </si>
  <si>
    <t>Buyers Guide $1,150,000</t>
  </si>
  <si>
    <t>Fitzgerald Road</t>
  </si>
  <si>
    <t>Andrew Searle</t>
  </si>
  <si>
    <t>Belle Property Wahroonga | Hornsby | Pymble | Thornleigh</t>
  </si>
  <si>
    <t>$1,150,000</t>
  </si>
  <si>
    <t>$1,080,000</t>
  </si>
  <si>
    <t>535 Woodville Road</t>
  </si>
  <si>
    <t>For Sale - Price Guide - $1,080,000-$1,130,000</t>
  </si>
  <si>
    <t>42 &amp; 42A Fairfield Road</t>
  </si>
  <si>
    <t>George Lattouf</t>
  </si>
  <si>
    <t>Laing+Simmons Merrylands</t>
  </si>
  <si>
    <t>State</t>
  </si>
  <si>
    <t>Current</t>
  </si>
  <si>
    <t>$2,880,000</t>
  </si>
  <si>
    <t>Price_Clean</t>
  </si>
  <si>
    <t>$830,000</t>
  </si>
  <si>
    <t>$790,000</t>
  </si>
  <si>
    <t>$880,000</t>
  </si>
  <si>
    <t>$700,000</t>
  </si>
  <si>
    <t>$710,000</t>
  </si>
  <si>
    <t>$1,850,000</t>
  </si>
  <si>
    <t>$595,000</t>
  </si>
  <si>
    <t>$915,000</t>
  </si>
  <si>
    <t>$2,350,000</t>
  </si>
  <si>
    <t>$599,000</t>
  </si>
  <si>
    <t>$1,299,000</t>
  </si>
  <si>
    <t>$1,380,000</t>
  </si>
  <si>
    <t>$1,050,000</t>
  </si>
  <si>
    <t>$780,000</t>
  </si>
  <si>
    <t>$3,400,000</t>
  </si>
  <si>
    <t>$2,075,000</t>
  </si>
  <si>
    <t>$1,090,000</t>
  </si>
  <si>
    <t>PostalCode</t>
  </si>
  <si>
    <t>ListingDate</t>
  </si>
  <si>
    <t>PriceClean</t>
  </si>
  <si>
    <t>FALSE</t>
  </si>
  <si>
    <t>TRUE</t>
  </si>
  <si>
    <t>Row Labels</t>
  </si>
  <si>
    <t>Grand Total</t>
  </si>
  <si>
    <t>Count of Address</t>
  </si>
  <si>
    <t>Properties Sold</t>
  </si>
  <si>
    <t>Property Listed</t>
  </si>
  <si>
    <t>Column Labels</t>
  </si>
  <si>
    <t>Count of PriceClean</t>
  </si>
  <si>
    <t>Sum of Bedroom</t>
  </si>
  <si>
    <t>Sum of Bathroom</t>
  </si>
  <si>
    <t>Sum of Parking</t>
  </si>
  <si>
    <t>listings</t>
  </si>
  <si>
    <t>Sun 24 Aug, 10:00 AM</t>
  </si>
  <si>
    <t>Sat 30 Aug, 1:45 PM</t>
  </si>
  <si>
    <t>for sale - $2,290,000</t>
  </si>
  <si>
    <t>27 Koorabel Street</t>
  </si>
  <si>
    <t>Raine &amp; Horne Bardwell Park / Kingsgrove / Earlwood</t>
  </si>
  <si>
    <t>Theo Samos &amp; Anthony Klironomos</t>
  </si>
  <si>
    <t>Wed 27 Aug, 11:30 AM</t>
  </si>
  <si>
    <t>Mon 25 Aug, 5:00 PM</t>
  </si>
  <si>
    <t>Average of PriceClean</t>
  </si>
  <si>
    <t>for sale $2,150,000 - $2,350,000</t>
  </si>
  <si>
    <t>17 Neirbo Avenue</t>
  </si>
  <si>
    <t>Matt Brooks &amp; Ellouise Paine</t>
  </si>
  <si>
    <t>$2,150,000</t>
  </si>
  <si>
    <t>$2,290,000</t>
  </si>
  <si>
    <t>Wed 27 Aug, 5:30 PM</t>
  </si>
  <si>
    <t>$1.75M</t>
  </si>
  <si>
    <t>$1.09m</t>
  </si>
  <si>
    <t>10/16 Marsden Road</t>
  </si>
  <si>
    <t>Steven Fan &amp; Emile Corbino</t>
  </si>
  <si>
    <t>3</t>
  </si>
  <si>
    <t>2</t>
  </si>
  <si>
    <t>1</t>
  </si>
  <si>
    <t>5</t>
  </si>
  <si>
    <t>4</t>
  </si>
  <si>
    <t>15</t>
  </si>
  <si>
    <t>0</t>
  </si>
  <si>
    <t>7</t>
  </si>
  <si>
    <t>6</t>
  </si>
  <si>
    <t>9</t>
  </si>
  <si>
    <t>20</t>
  </si>
  <si>
    <t>21</t>
  </si>
  <si>
    <t>PriceRange</t>
  </si>
  <si>
    <t>1M - 1.5M</t>
  </si>
  <si>
    <t>1.5M - 2M</t>
  </si>
  <si>
    <t>2M - 2.5M</t>
  </si>
  <si>
    <t>2.5M - 3M</t>
  </si>
  <si>
    <t>3M - 3.5M</t>
  </si>
  <si>
    <t>3.5M - 4M</t>
  </si>
  <si>
    <t>0.5M - 1M</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</si>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</sst>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quot;$&quot;* #,##0_-;\-&quot;$&quot;* #,##0_-;_-&quot;$&quot;* &quot;-&quot;??_-;_-@_-"/>
  </numFmts>
  <fonts count="4" x14ac:knownFonts="1">
    <font>
      <sz val="11"/>
      <color theme="1"/>
      <name val="Aptos Narrow"/>
      <family val="2"/>
      <scheme val="minor"/>
    </font>
    <font>
      <sz val="8"/>
      <name val="Aptos Narrow"/>
      <family val="2"/>
      <scheme val="minor"/>
    </font>
    <font>
      <sz val="11"/>
      <color rgb="FFFF6600"/>
      <name val="Aptos Narrow"/>
      <family val="2"/>
      <scheme val="minor"/>
    </font>
    <font>
      <sz val="11"/>
      <name val="Aptos Narrow"/>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8">
    <xf numFmtId="0" fontId="0" fillId="0" borderId="0" xfId="0"/>
    <xf numFmtId="0" fontId="2" fillId="2" borderId="0" xfId="0" applyFont="1" applyFill="1"/>
    <xf numFmtId="0" fontId="3" fillId="2" borderId="0" xfId="0" applyFont="1" applyFill="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37">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4.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[RealEstate Tracker.xlsx]Pivot!PivotTable2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4 Performing Suburbs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Pivot!$A$15:$A$19</c:f>
              <c:strCache>
                <c:ptCount val="4"/>
                <c:pt idx="0">
                  <c:v>Epping</c:v>
                </c:pt>
                <c:pt idx="1">
                  <c:v>Guildford</c:v>
                </c:pt>
                <c:pt idx="2">
                  <c:v>Hurstville</c:v>
                </c:pt>
                <c:pt idx="3">
                  <c:v>Parramatta</c:v>
                </c:pt>
              </c:strCache>
            </c:strRef>
          </c:cat>
          <c:val>
            <c:numRef>
              <c:f>Pivot!$B$15:$B$19</c:f>
              <c:numCache>
                <c:formatCode>General</c:formatCode>
                <c:ptCount val="4"/>
                <c:pt idx="0">
                  <c:v>6</c:v>
                </c:pt>
                <c:pt idx="1">
                  <c:v>14</c:v>
                </c:pt>
                <c:pt idx="2">
                  <c:v>28</c:v>
                </c:pt>
                <c:pt idx="3">
                  <c:v>5</c:v>
                </c:pt>
              </c:numCache>
            </c:numRef>
          </c:val>
          <c:extLst>
            <c:ext xmlns:c16="http://schemas.microsoft.com/office/drawing/2014/chart" uri="{C3380CC4-5D6E-409C-BE32-E72D297353CC}">
              <c16:uniqueId val="{00000000-CC62-4E35-91F8-E333D9143B29}"/>
            </c:ext>
          </c:extLst>
        </c:ser>
        <c:dLbls>
          <c:dLblPos val="outEnd"/>
          <c:showLegendKey val="0"/>
          <c:showVal val="1"/>
          <c:showCatName val="0"/>
          <c:showSerName val="0"/>
          <c:showPercent val="0"/>
          <c:showBubbleSize val="0"/>
        </c:dLbls>
        <c:gapWidth val="182"/>
        <c:axId val="1197755839"/>
        <c:axId val="1197767839"/>
      </c:barChart>
      <c:catAx>
        <c:axId val="1197755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767839"/>
        <c:crosses val="autoZero"/>
        <c:auto val="1"/>
        <c:lblAlgn val="ctr"/>
        <c:lblOffset val="100"/>
        <c:noMultiLvlLbl val="0"/>
      </c:catAx>
      <c:valAx>
        <c:axId val="1197767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755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[RealEstate Tracker.xlsx]Pivot!PivotTable2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4 Suburb</a:t>
            </a:r>
            <a:r>
              <a:rPr lang="en-US" baseline="0"/>
              <a:t> with most property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4166666666666666"/>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dLbl>
          <c:idx val="0"/>
          <c:layout>
            <c:manualLayout>
              <c:x val="0.17499999999999991"/>
              <c:y val="0"/>
            </c:manualLayout>
          </c:layou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20833333333333323"/>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6666666666666669"/>
              <c:y val="9.25925925925924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dLbl>
          <c:idx val="0"/>
          <c:layout>
            <c:manualLayout>
              <c:x val="-0.15833327395161578"/>
              <c:y val="0.15740740740740733"/>
            </c:manualLayout>
          </c:layou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0.16666666666666666"/>
              <c:y val="-5.5555555555555643E-2"/>
            </c:manualLayout>
          </c:layou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9166666666666668"/>
              <c:y val="-0.120370370370370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dLbl>
          <c:idx val="0"/>
          <c:layout>
            <c:manualLayout>
              <c:x val="-0.23333333333333334"/>
              <c:y val="-0.20370370370370369"/>
            </c:manualLayout>
          </c:layou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0.13333333333333333"/>
              <c:y val="-0.23148148148148148"/>
            </c:manualLayout>
          </c:layout>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FA4A-4383-A61E-2B3713E698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4A-4383-A61E-2B3713E698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FA4A-4383-A61E-2B3713E698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FA4A-4383-A61E-2B3713E69819}"/>
              </c:ext>
            </c:extLst>
          </c:dPt>
          <c:dLbls>
            <c:dLbl>
              <c:idx val="0"/>
              <c:layout>
                <c:manualLayout>
                  <c:x val="0.20833333333333323"/>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A4A-4383-A61E-2B3713E69819}"/>
                </c:ext>
              </c:extLst>
            </c:dLbl>
            <c:dLbl>
              <c:idx val="1"/>
              <c:layout>
                <c:manualLayout>
                  <c:x val="0.14166666666666666"/>
                  <c:y val="-1.38888888888888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A4A-4383-A61E-2B3713E69819}"/>
                </c:ext>
              </c:extLst>
            </c:dLbl>
            <c:dLbl>
              <c:idx val="2"/>
              <c:layout>
                <c:manualLayout>
                  <c:x val="-0.16666666666666669"/>
                  <c:y val="9.25925925925924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A4A-4383-A61E-2B3713E69819}"/>
                </c:ext>
              </c:extLst>
            </c:dLbl>
            <c:dLbl>
              <c:idx val="3"/>
              <c:layout>
                <c:manualLayout>
                  <c:x val="-0.19166666666666668"/>
                  <c:y val="-0.120370370370370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A4A-4383-A61E-2B3713E6981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Pivot!$A$15:$A$19</c:f>
              <c:strCache>
                <c:ptCount val="4"/>
                <c:pt idx="0">
                  <c:v>Epping</c:v>
                </c:pt>
                <c:pt idx="1">
                  <c:v>Guildford</c:v>
                </c:pt>
                <c:pt idx="2">
                  <c:v>Hurstville</c:v>
                </c:pt>
                <c:pt idx="3">
                  <c:v>Parramatta</c:v>
                </c:pt>
              </c:strCache>
            </c:strRef>
          </c:cat>
          <c:val>
            <c:numRef>
              <c:f>Pivot!$B$15:$B$19</c:f>
              <c:numCache>
                <c:formatCode>General</c:formatCode>
                <c:ptCount val="4"/>
                <c:pt idx="0">
                  <c:v>6</c:v>
                </c:pt>
                <c:pt idx="1">
                  <c:v>14</c:v>
                </c:pt>
                <c:pt idx="2">
                  <c:v>28</c:v>
                </c:pt>
                <c:pt idx="3">
                  <c:v>5</c:v>
                </c:pt>
              </c:numCache>
            </c:numRef>
          </c:val>
          <c:extLst>
            <c:ext xmlns:c16="http://schemas.microsoft.com/office/drawing/2014/chart" uri="{C3380CC4-5D6E-409C-BE32-E72D297353CC}">
              <c16:uniqueId val="{00000000-FA4A-4383-A61E-2B3713E69819}"/>
            </c:ext>
          </c:extLst>
        </c:ser>
        <c:dLbls>
          <c:showLegendKey val="0"/>
          <c:showVal val="0"/>
          <c:showCatName val="0"/>
          <c:showSerName val="0"/>
          <c:showPercent val="0"/>
          <c:showBubbleSize val="0"/>
          <c:showLeaderLines val="0"/>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[RealEstate Tracker.xlsx]Pivot!PivotTable4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Pivot!$B$67:$B$68</c:f>
              <c:strCache>
                <c:ptCount val="1"/>
                <c:pt idx="0">
                  <c:v>Epping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Pivot!$A$69:$A$79</c:f>
              <c:strCache>
                <c:ptCount val="10"/>
                <c:pt idx="0">
                  <c:v>Sydney Boutique Property</c:v>
                </c:pt>
                <c:pt idx="1">
                  <c:v>Starr Partners Merrylands</c:v>
                </c:pt>
                <c:pt idx="2">
                  <c:v>S K Real Estate</c:v>
                </c:pt>
                <c:pt idx="3">
                  <c:v>Ray White Hurstville</c:v>
                </c:pt>
                <c:pt idx="4">
                  <c:v>OXBRIDGE GLOBAL REAL ESTATE</c:v>
                </c:pt>
                <c:pt idx="5">
                  <c:v>McGrath Estate Agents South Hurstville</c:v>
                </c:pt>
                <c:pt idx="6">
                  <c:v>McGrath - St George</c:v>
                </c:pt>
                <c:pt idx="7">
                  <c:v>LJ Hooker Parramatta | Granville | Guildford | Merrylands</c:v>
                </c:pt>
                <c:pt idx="8">
                  <c:v>LINK REALTY INTERNATIONAL PTY LIMITED</c:v>
                </c:pt>
                <c:pt idx="9">
                  <c:v>HOME789</c:v>
                </c:pt>
              </c:strCache>
            </c:strRef>
          </c:cat>
          <c:val>
            <c:numRef>
              <c:f>Pivot!$B$69:$B$79</c:f>
              <c:numCache>
                <c:formatCode>General</c:formatCode>
                <c:ptCount val="10"/>
                <c:pt idx="4">
                  <c:v>2</c:v>
                </c:pt>
              </c:numCache>
            </c:numRef>
          </c:val>
          <c:extLst>
            <c:ext xmlns:c16="http://schemas.microsoft.com/office/drawing/2014/chart" uri="{C3380CC4-5D6E-409C-BE32-E72D297353CC}">
              <c16:uniqueId val="{00000000-99AC-4C3F-BEBB-50A0A69ED649}"/>
            </c:ext>
          </c:extLst>
        </c:ser>
        <c:ser>
          <c:idx val="1"/>
          <c:order val="1"/>
          <c:tx>
            <c:strRef>
              <c:f>Pivot!$C$67:$C$68</c:f>
              <c:strCache>
                <c:ptCount val="1"/>
                <c:pt idx="0">
                  <c:v>Guildford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Pivot!$A$69:$A$79</c:f>
              <c:strCache>
                <c:ptCount val="10"/>
                <c:pt idx="0">
                  <c:v>Sydney Boutique Property</c:v>
                </c:pt>
                <c:pt idx="1">
                  <c:v>Starr Partners Merrylands</c:v>
                </c:pt>
                <c:pt idx="2">
                  <c:v>S K Real Estate</c:v>
                </c:pt>
                <c:pt idx="3">
                  <c:v>Ray White Hurstville</c:v>
                </c:pt>
                <c:pt idx="4">
                  <c:v>OXBRIDGE GLOBAL REAL ESTATE</c:v>
                </c:pt>
                <c:pt idx="5">
                  <c:v>McGrath Estate Agents South Hurstville</c:v>
                </c:pt>
                <c:pt idx="6">
                  <c:v>McGrath - St George</c:v>
                </c:pt>
                <c:pt idx="7">
                  <c:v>LJ Hooker Parramatta | Granville | Guildford | Merrylands</c:v>
                </c:pt>
                <c:pt idx="8">
                  <c:v>LINK REALTY INTERNATIONAL PTY LIMITED</c:v>
                </c:pt>
                <c:pt idx="9">
                  <c:v>HOME789</c:v>
                </c:pt>
              </c:strCache>
            </c:strRef>
          </c:cat>
          <c:val>
            <c:numRef>
              <c:f>Pivot!$C$69:$C$79</c:f>
              <c:numCache>
                <c:formatCode>General</c:formatCode>
                <c:ptCount val="10"/>
                <c:pt idx="1">
                  <c:v>2</c:v>
                </c:pt>
                <c:pt idx="7">
                  <c:v>6</c:v>
                </c:pt>
              </c:numCache>
            </c:numRef>
          </c:val>
          <c:extLst>
            <c:ext xmlns:c16="http://schemas.microsoft.com/office/drawing/2014/chart" uri="{C3380CC4-5D6E-409C-BE32-E72D297353CC}">
              <c16:uniqueId val="{00000001-99AC-4C3F-BEBB-50A0A69ED649}"/>
            </c:ext>
          </c:extLst>
        </c:ser>
        <c:ser>
          <c:idx val="2"/>
          <c:order val="2"/>
          <c:tx>
            <c:strRef>
              <c:f>Pivot!$D$67:$D$68</c:f>
              <c:strCache>
                <c:ptCount val="1"/>
                <c:pt idx="0">
                  <c:v>Hurstville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Pivot!$A$69:$A$79</c:f>
              <c:strCache>
                <c:ptCount val="10"/>
                <c:pt idx="0">
                  <c:v>Sydney Boutique Property</c:v>
                </c:pt>
                <c:pt idx="1">
                  <c:v>Starr Partners Merrylands</c:v>
                </c:pt>
                <c:pt idx="2">
                  <c:v>S K Real Estate</c:v>
                </c:pt>
                <c:pt idx="3">
                  <c:v>Ray White Hurstville</c:v>
                </c:pt>
                <c:pt idx="4">
                  <c:v>OXBRIDGE GLOBAL REAL ESTATE</c:v>
                </c:pt>
                <c:pt idx="5">
                  <c:v>McGrath Estate Agents South Hurstville</c:v>
                </c:pt>
                <c:pt idx="6">
                  <c:v>McGrath - St George</c:v>
                </c:pt>
                <c:pt idx="7">
                  <c:v>LJ Hooker Parramatta | Granville | Guildford | Merrylands</c:v>
                </c:pt>
                <c:pt idx="8">
                  <c:v>LINK REALTY INTERNATIONAL PTY LIMITED</c:v>
                </c:pt>
                <c:pt idx="9">
                  <c:v>HOME789</c:v>
                </c:pt>
              </c:strCache>
            </c:strRef>
          </c:cat>
          <c:val>
            <c:numRef>
              <c:f>Pivot!$D$69:$D$79</c:f>
              <c:numCache>
                <c:formatCode>General</c:formatCode>
                <c:ptCount val="10"/>
                <c:pt idx="0">
                  <c:v>2</c:v>
                </c:pt>
                <c:pt idx="2">
                  <c:v>2</c:v>
                </c:pt>
                <c:pt idx="3">
                  <c:v>3</c:v>
                </c:pt>
                <c:pt idx="5">
                  <c:v>4</c:v>
                </c:pt>
                <c:pt idx="6">
                  <c:v>2</c:v>
                </c:pt>
                <c:pt idx="8">
                  <c:v>2</c:v>
                </c:pt>
                <c:pt idx="9">
                  <c:v>2</c:v>
                </c:pt>
              </c:numCache>
            </c:numRef>
          </c:val>
          <c:extLst>
            <c:ext xmlns:c16="http://schemas.microsoft.com/office/drawing/2014/chart" uri="{C3380CC4-5D6E-409C-BE32-E72D297353CC}">
              <c16:uniqueId val="{00000002-99AC-4C3F-BEBB-50A0A69ED649}"/>
            </c:ext>
          </c:extLst>
        </c:ser>
        <c:dLbls>
          <c:dLblPos val="outEnd"/>
          <c:showLegendKey val="0"/>
          <c:showVal val="1"/>
          <c:showCatName val="0"/>
          <c:showSerName val="0"/>
          <c:showPercent val="0"/>
          <c:showBubbleSize val="0"/>
        </c:dLbls>
        <c:gapWidth val="182"/>
        <c:axId val="1582365600"/>
        <c:axId val="1582351680"/>
      </c:barChart>
      <c:catAx>
        <c:axId val="1582365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351680"/>
        <c:crosses val="autoZero"/>
        <c:auto val="1"/>
        <c:lblAlgn val="ctr"/>
        <c:lblOffset val="100"/>
        <c:noMultiLvlLbl val="0"/>
      </c:catAx>
      <c:valAx>
        <c:axId val="1582351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36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[RealEstate Tracker.xlsx]Pivot!PivotTable3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Agency by Property Listed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Pivot!$B$22</c:f>
              <c:strCache>
                <c:ptCount val="1"/>
                <c:pt idx="0">
                  <c:v>Total</c:v>
                </c:pt>
              </c:strCache>
            </c:strRef>
          </c:tx>
          <c:spPr>
            <a:solidFill>
              <a:schemeClr val="accent2">
                <a:lumMod val="60000"/>
                <a:lumOff val="40000"/>
              </a:schemeClr>
            </a:solidFill>
            <a:ln>
              <a:solidFill>
                <a:schemeClr val="accent1"/>
              </a:solidFill>
            </a:ln>
            <a:effectLst/>
          </c:spPr>
          <c:invertIfNegative val="0"/>
          <c:cat>
            <c:strRef>
              <c:f>Pivot!$A$23:$A$26</c:f>
              <c:strCache>
                <c:ptCount val="3"/>
                <c:pt idx="0">
                  <c:v>LJ Hooker Parramatta | Granville | Guildford | Merrylands</c:v>
                </c:pt>
                <c:pt idx="1">
                  <c:v>McGrath Estate Agents South Hurstville</c:v>
                </c:pt>
                <c:pt idx="2">
                  <c:v>Ray White Hurstville</c:v>
                </c:pt>
              </c:strCache>
            </c:strRef>
          </c:cat>
          <c:val>
            <c:numRef>
              <c:f>Pivot!$B$23:$B$26</c:f>
              <c:numCache>
                <c:formatCode>General</c:formatCode>
                <c:ptCount val="3"/>
                <c:pt idx="0">
                  <c:v>10</c:v>
                </c:pt>
                <c:pt idx="1">
                  <c:v>4</c:v>
                </c:pt>
                <c:pt idx="2">
                  <c:v>4</c:v>
                </c:pt>
              </c:numCache>
            </c:numRef>
          </c:val>
          <c:extLst>
            <c:ext xmlns:c16="http://schemas.microsoft.com/office/drawing/2014/chart" uri="{C3380CC4-5D6E-409C-BE32-E72D297353CC}">
              <c16:uniqueId val="{00000000-922A-48CB-B13E-41E2D7B30DEF}"/>
            </c:ext>
          </c:extLst>
        </c:ser>
        <c:dLbls>
          <c:showLegendKey val="0"/>
          <c:showVal val="0"/>
          <c:showCatName val="0"/>
          <c:showSerName val="0"/>
          <c:showPercent val="0"/>
          <c:showBubbleSize val="0"/>
        </c:dLbls>
        <c:gapWidth val="219"/>
        <c:overlap val="-27"/>
        <c:axId val="1556803872"/>
        <c:axId val="1556804352"/>
      </c:barChart>
      <c:catAx>
        <c:axId val="155680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804352"/>
        <c:crosses val="autoZero"/>
        <c:auto val="1"/>
        <c:lblAlgn val="ctr"/>
        <c:lblOffset val="100"/>
        <c:noMultiLvlLbl val="0"/>
      </c:catAx>
      <c:valAx>
        <c:axId val="155680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80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[RealEstate Tracker.xlsx]Pivot!PivotTable12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Pivot!$B$179</c:f>
              <c:strCache>
                <c:ptCount val="1"/>
                <c:pt idx="0">
                  <c:v>Total</c:v>
                </c:pt>
              </c:strCache>
            </c:strRef>
          </c:tx>
          <c:spPr>
            <a:solidFill>
              <a:schemeClr val="accent1"/>
            </a:solidFill>
            <a:ln>
              <a:noFill/>
            </a:ln>
            <a:effectLst/>
          </c:spPr>
          <c:invertIfNegative val="0"/>
          <c:cat>
            <c:strRef>
              <c:f>Pivot!$A$180:$A$192</c:f>
              <c:strCache>
                <c:ptCount val="12"/>
                <c:pt idx="0">
                  <c:v>Azzam Derbas</c:v>
                </c:pt>
                <c:pt idx="1">
                  <c:v>Joseph Nasr</c:v>
                </c:pt>
                <c:pt idx="2">
                  <c:v>Joseph Nasr &amp; Joe Guida</c:v>
                </c:pt>
                <c:pt idx="3">
                  <c:v>Karl Flaifel &amp; George Boghos</c:v>
                </c:pt>
                <c:pt idx="4">
                  <c:v>Linda Yu &amp; Daniel Yang</c:v>
                </c:pt>
                <c:pt idx="5">
                  <c:v>Linda Yu &amp; Kahili Lynch</c:v>
                </c:pt>
                <c:pt idx="6">
                  <c:v>Marco Kwong &amp; Sherman Kwong</c:v>
                </c:pt>
                <c:pt idx="7">
                  <c:v>Renee Robertshaw &amp; Tom McIvor</c:v>
                </c:pt>
                <c:pt idx="8">
                  <c:v>Terence Lee</c:v>
                </c:pt>
                <c:pt idx="9">
                  <c:v>Vicky Weizhen Mi</c:v>
                </c:pt>
                <c:pt idx="10">
                  <c:v>Vikram Jeet &amp; Steven Fan</c:v>
                </c:pt>
                <c:pt idx="11">
                  <c:v>unavailable</c:v>
                </c:pt>
              </c:strCache>
            </c:strRef>
          </c:cat>
          <c:val>
            <c:numRef>
              <c:f>Pivot!$B$180:$B$192</c:f>
              <c:numCache>
                <c:formatCode>General</c:formatCode>
                <c:ptCount val="12"/>
                <c:pt idx="0">
                  <c:v>2</c:v>
                </c:pt>
                <c:pt idx="1">
                  <c:v>2</c:v>
                </c:pt>
                <c:pt idx="2">
                  <c:v>2</c:v>
                </c:pt>
                <c:pt idx="3">
                  <c:v>2</c:v>
                </c:pt>
                <c:pt idx="4">
                  <c:v>2</c:v>
                </c:pt>
                <c:pt idx="5">
                  <c:v>2</c:v>
                </c:pt>
                <c:pt idx="6">
                  <c:v>2</c:v>
                </c:pt>
                <c:pt idx="7">
                  <c:v>2</c:v>
                </c:pt>
                <c:pt idx="8">
                  <c:v>2</c:v>
                </c:pt>
                <c:pt idx="9">
                  <c:v>2</c:v>
                </c:pt>
                <c:pt idx="10">
                  <c:v>2</c:v>
                </c:pt>
                <c:pt idx="11">
                  <c:v>2</c:v>
                </c:pt>
              </c:numCache>
            </c:numRef>
          </c:val>
          <c:extLst>
            <c:ext xmlns:c16="http://schemas.microsoft.com/office/drawing/2014/chart" uri="{C3380CC4-5D6E-409C-BE32-E72D297353CC}">
              <c16:uniqueId val="{00000000-97F5-4785-944F-5DE1E9E0F43A}"/>
            </c:ext>
          </c:extLst>
        </c:ser>
        <c:dLbls>
          <c:showLegendKey val="0"/>
          <c:showVal val="0"/>
          <c:showCatName val="0"/>
          <c:showSerName val="0"/>
          <c:showPercent val="0"/>
          <c:showBubbleSize val="0"/>
        </c:dLbls>
        <c:gapWidth val="182"/>
        <c:axId val="267558495"/>
        <c:axId val="267558975"/>
      </c:barChart>
      <c:catAx>
        <c:axId val="267558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558975"/>
        <c:crosses val="autoZero"/>
        <c:auto val="1"/>
        <c:lblAlgn val="ctr"/>
        <c:lblOffset val="100"/>
        <c:noMultiLvlLbl val="0"/>
      </c:catAx>
      <c:valAx>
        <c:axId val="267558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55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[RealEstate Tracker.xlsx]Pivot!PivotTable6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High</a:t>
            </a:r>
            <a:r>
              <a:rPr lang="en-US" baseline="0"/>
              <a:t> yielding </a:t>
            </a:r>
            <a:r>
              <a:rPr lang="en-US"/>
              <a:t>Suburb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Pivot!$B$207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Pivot!$A$208:$A$213</c:f>
              <c:strCache>
                <c:ptCount val="5"/>
                <c:pt idx="0">
                  <c:v>Epping</c:v>
                </c:pt>
                <c:pt idx="1">
                  <c:v>Harris Park</c:v>
                </c:pt>
                <c:pt idx="2">
                  <c:v>Northmead</c:v>
                </c:pt>
                <c:pt idx="3">
                  <c:v>Oatlands</c:v>
                </c:pt>
                <c:pt idx="4">
                  <c:v>Parramatta</c:v>
                </c:pt>
              </c:strCache>
            </c:strRef>
          </c:cat>
          <c:val>
            <c:numRef>
              <c:f>Pivot!$B$208:$B$213</c:f>
              <c:numCache>
                <c:formatCode>"$"#,##0.00</c:formatCode>
                <c:ptCount val="5"/>
                <c:pt idx="0">
                  <c:v>1845000</c:v>
                </c:pt>
                <c:pt idx="1">
                  <c:v>3050000</c:v>
                </c:pt>
                <c:pt idx="2">
                  <c:v>1867500</c:v>
                </c:pt>
                <c:pt idx="3">
                  <c:v>2025000</c:v>
                </c:pt>
                <c:pt idx="4">
                  <c:v>1992000</c:v>
                </c:pt>
              </c:numCache>
            </c:numRef>
          </c:val>
          <c:extLst>
            <c:ext xmlns:c16="http://schemas.microsoft.com/office/drawing/2014/chart" uri="{C3380CC4-5D6E-409C-BE32-E72D297353CC}">
              <c16:uniqueId val="{00000000-DC2F-419C-9032-561A9521E311}"/>
            </c:ext>
          </c:extLst>
        </c:ser>
        <c:dLbls>
          <c:dLblPos val="outEnd"/>
          <c:showLegendKey val="0"/>
          <c:showVal val="1"/>
          <c:showCatName val="0"/>
          <c:showSerName val="0"/>
          <c:showPercent val="0"/>
          <c:showBubbleSize val="0"/>
        </c:dLbls>
        <c:gapWidth val="182"/>
        <c:axId val="1944376431"/>
        <c:axId val="1944376911"/>
      </c:barChart>
      <c:catAx>
        <c:axId val="19443764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944376911"/>
        <c:crosses val="autoZero"/>
        <c:auto val="1"/>
        <c:lblAlgn val="ctr"/>
        <c:lblOffset val="100"/>
        <c:noMultiLvlLbl val="0"/>
      </c:catAx>
      <c:valAx>
        <c:axId val="1944376911"/>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Average 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out"/>
        <c:minorTickMark val="none"/>
        <c:tickLblPos val="nextTo"/>
        <c:crossAx val="194437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[RealEstate Tracker.xlsx]Pivot!PivotTable14</c:name>
    <c:fmtId val="6"/>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2">
                <a:tint val="77000"/>
              </a:schemeClr>
            </a:solidFill>
            <a:ln w="9525">
              <a:solidFill>
                <a:schemeClr val="accent2">
                  <a:tint val="77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Pivot!$B$216</c:f>
              <c:strCache>
                <c:ptCount val="1"/>
                <c:pt idx="0">
                  <c:v>Average of PriceClean</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Pivot!$A$217:$A$222</c:f>
              <c:strCache>
                <c:ptCount val="5"/>
                <c:pt idx="0">
                  <c:v>Cameron Langley Real Estate</c:v>
                </c:pt>
                <c:pt idx="1">
                  <c:v>D &amp; D Real Estate</c:v>
                </c:pt>
                <c:pt idx="2">
                  <c:v>McGrath Epping</c:v>
                </c:pt>
                <c:pt idx="3">
                  <c:v>Ray White Parramatta/Oatlands/Northmead</c:v>
                </c:pt>
                <c:pt idx="4">
                  <c:v>Stone Real Estate Northmead</c:v>
                </c:pt>
              </c:strCache>
            </c:strRef>
          </c:cat>
          <c:val>
            <c:numRef>
              <c:f>Pivot!$B$217:$B$222</c:f>
              <c:numCache>
                <c:formatCode>"$"#,##0.00</c:formatCode>
                <c:ptCount val="5"/>
                <c:pt idx="0">
                  <c:v>2880000</c:v>
                </c:pt>
                <c:pt idx="1">
                  <c:v>2650000</c:v>
                </c:pt>
                <c:pt idx="2">
                  <c:v>2995000</c:v>
                </c:pt>
                <c:pt idx="3">
                  <c:v>2683333.3333333335</c:v>
                </c:pt>
                <c:pt idx="4">
                  <c:v>2850000</c:v>
                </c:pt>
              </c:numCache>
            </c:numRef>
          </c:val>
          <c:extLst>
            <c:ext xmlns:c16="http://schemas.microsoft.com/office/drawing/2014/chart" uri="{C3380CC4-5D6E-409C-BE32-E72D297353CC}">
              <c16:uniqueId val="{00000000-B98D-41E1-95A7-C98BF0C1737C}"/>
            </c:ext>
          </c:extLst>
        </c:ser>
        <c:dLbls>
          <c:showLegendKey val="0"/>
          <c:showVal val="1"/>
          <c:showCatName val="0"/>
          <c:showSerName val="0"/>
          <c:showPercent val="0"/>
          <c:showBubbleSize val="0"/>
        </c:dLbls>
        <c:gapWidth val="219"/>
        <c:overlap val="-27"/>
        <c:axId val="72459584"/>
        <c:axId val="72445664"/>
      </c:barChart>
      <c:lineChart>
        <c:grouping val="stacked"/>
        <c:varyColors val="0"/>
        <c:ser>
          <c:idx val="1"/>
          <c:order val="1"/>
          <c:tx>
            <c:strRef>
              <c:f>Pivot!$C$216</c:f>
              <c:strCache>
                <c:ptCount val="1"/>
                <c:pt idx="0">
                  <c:v>Count of PriceClean</c:v>
                </c:pt>
              </c:strCache>
            </c:strRef>
          </c:tx>
          <c:spPr>
            <a:ln w="28575" cap="rnd">
              <a:solidFill>
                <a:schemeClr val="accent2">
                  <a:tint val="77000"/>
                </a:schemeClr>
              </a:solidFill>
              <a:round/>
            </a:ln>
            <a:effectLst/>
          </c:spPr>
          <c:marker>
            <c:symbol val="circle"/>
            <c:size val="5"/>
            <c:spPr>
              <a:solidFill>
                <a:schemeClr val="accent2">
                  <a:tint val="77000"/>
                </a:schemeClr>
              </a:solidFill>
              <a:ln w="9525">
                <a:solidFill>
                  <a:schemeClr val="accent2">
                    <a:tint val="77000"/>
                  </a:schemeClr>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Pivot!$A$217:$A$222</c:f>
              <c:strCache>
                <c:ptCount val="5"/>
                <c:pt idx="0">
                  <c:v>Cameron Langley Real Estate</c:v>
                </c:pt>
                <c:pt idx="1">
                  <c:v>D &amp; D Real Estate</c:v>
                </c:pt>
                <c:pt idx="2">
                  <c:v>McGrath Epping</c:v>
                </c:pt>
                <c:pt idx="3">
                  <c:v>Ray White Parramatta/Oatlands/Northmead</c:v>
                </c:pt>
                <c:pt idx="4">
                  <c:v>Stone Real Estate Northmead</c:v>
                </c:pt>
              </c:strCache>
            </c:strRef>
          </c:cat>
          <c:val>
            <c:numRef>
              <c:f>Pivot!$C$217:$C$222</c:f>
              <c:numCache>
                <c:formatCode>General</c:formatCode>
                <c:ptCount val="5"/>
                <c:pt idx="0">
                  <c:v>1</c:v>
                </c:pt>
                <c:pt idx="1">
                  <c:v>2</c:v>
                </c:pt>
                <c:pt idx="2">
                  <c:v>1</c:v>
                </c:pt>
                <c:pt idx="3">
                  <c:v>3</c:v>
                </c:pt>
                <c:pt idx="4">
                  <c:v>1</c:v>
                </c:pt>
              </c:numCache>
            </c:numRef>
          </c:val>
          <c:smooth val="0"/>
          <c:extLst>
            <c:ext xmlns:c16="http://schemas.microsoft.com/office/drawing/2014/chart" uri="{C3380CC4-5D6E-409C-BE32-E72D297353CC}">
              <c16:uniqueId val="{00000001-B98D-41E1-95A7-C98BF0C1737C}"/>
            </c:ext>
          </c:extLst>
        </c:ser>
        <c:dLbls>
          <c:showLegendKey val="0"/>
          <c:showVal val="1"/>
          <c:showCatName val="0"/>
          <c:showSerName val="0"/>
          <c:showPercent val="0"/>
          <c:showBubbleSize val="0"/>
        </c:dLbls>
        <c:marker val="1"/>
        <c:smooth val="0"/>
        <c:axId val="72453344"/>
        <c:axId val="72448064"/>
      </c:lineChart>
      <c:catAx>
        <c:axId val="7245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dk1"/>
                </a:solidFill>
                <a:latin typeface="+mn-lt"/>
                <a:ea typeface="+mn-ea"/>
                <a:cs typeface="+mn-cs"/>
              </a:defRPr>
            </a:pPr>
            <a:endParaRPr lang="en-US"/>
          </a:p>
        </c:txPr>
        <c:crossAx val="72445664"/>
        <c:crosses val="autoZero"/>
        <c:auto val="1"/>
        <c:lblAlgn val="ctr"/>
        <c:lblOffset val="100"/>
        <c:noMultiLvlLbl val="0"/>
      </c:catAx>
      <c:valAx>
        <c:axId val="72445664"/>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2459584"/>
        <c:crosses val="autoZero"/>
        <c:crossBetween val="between"/>
      </c:valAx>
      <c:valAx>
        <c:axId val="724480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2453344"/>
        <c:crosses val="max"/>
        <c:crossBetween val="between"/>
      </c:valAx>
      <c:catAx>
        <c:axId val="72453344"/>
        <c:scaling>
          <c:orientation val="minMax"/>
        </c:scaling>
        <c:delete val="1"/>
        <c:axPos val="t"/>
        <c:numFmt formatCode="General" sourceLinked="1"/>
        <c:majorTickMark val="out"/>
        <c:minorTickMark val="none"/>
        <c:tickLblPos val="nextTo"/>
        <c:crossAx val="72448064"/>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[RealEstate Tracker.xlsx]Pivot!PivotTable15</c:name>
    <c:fmtId val="12"/>
  </c:pivotSource>
  <c:chart>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hade val="65000"/>
            </a:schemeClr>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tint val="65000"/>
            </a:schemeClr>
          </a:solidFill>
          <a:ln w="19050">
            <a:solidFill>
              <a:schemeClr val="lt1"/>
            </a:solidFill>
          </a:ln>
          <a:effectLst/>
        </c:spPr>
      </c:pivotFmt>
      <c:pivotFmt>
        <c:idx val="5"/>
        <c:spPr>
          <a:solidFill>
            <a:schemeClr val="accent2">
              <a:shade val="65000"/>
            </a:schemeClr>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tint val="65000"/>
            </a:schemeClr>
          </a:solidFill>
          <a:ln w="19050">
            <a:solidFill>
              <a:schemeClr val="lt1"/>
            </a:solidFill>
          </a:ln>
          <a:effectLst/>
        </c:spPr>
      </c:pivotFmt>
    </c:pivotFmts>
    <c:plotArea>
      <c:layout/>
      <c:doughnutChart>
        <c:varyColors val="1"/>
        <c:ser>
          <c:idx val="0"/>
          <c:order val="0"/>
          <c:tx>
            <c:strRef>
              <c:f>Pivot!$B$228</c:f>
              <c:strCache>
                <c:ptCount val="1"/>
                <c:pt idx="0">
                  <c:v>Average of PriceClean</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B81B-400A-AB25-F54F597221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1B-400A-AB25-F54F597221D8}"/>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B81B-400A-AB25-F54F597221D8}"/>
              </c:ext>
            </c:extLst>
          </c:dPt>
          <c:cat>
            <c:strRef>
              <c:f>Pivot!$A$229:$A$232</c:f>
              <c:strCache>
                <c:ptCount val="3"/>
                <c:pt idx="0">
                  <c:v>Betty Ockerlander &amp; Grace Zhang</c:v>
                </c:pt>
                <c:pt idx="1">
                  <c:v>Michael Curtis &amp; (Allen) Lijing Yan</c:v>
                </c:pt>
                <c:pt idx="2">
                  <c:v>Vikram Jeet &amp; Steven Fan</c:v>
                </c:pt>
              </c:strCache>
            </c:strRef>
          </c:cat>
          <c:val>
            <c:numRef>
              <c:f>Pivot!$B$229:$B$232</c:f>
              <c:numCache>
                <c:formatCode>"$"#,##0.00</c:formatCode>
                <c:ptCount val="3"/>
                <c:pt idx="0">
                  <c:v>2995000</c:v>
                </c:pt>
                <c:pt idx="1">
                  <c:v>3400000</c:v>
                </c:pt>
                <c:pt idx="2">
                  <c:v>3050000</c:v>
                </c:pt>
              </c:numCache>
            </c:numRef>
          </c:val>
          <c:extLst>
            <c:ext xmlns:c16="http://schemas.microsoft.com/office/drawing/2014/chart" uri="{C3380CC4-5D6E-409C-BE32-E72D297353CC}">
              <c16:uniqueId val="{00000000-32AA-477F-9D2D-EC2ADC29346E}"/>
            </c:ext>
          </c:extLst>
        </c:ser>
        <c:ser>
          <c:idx val="1"/>
          <c:order val="1"/>
          <c:tx>
            <c:strRef>
              <c:f>Pivot!$C$228</c:f>
              <c:strCache>
                <c:ptCount val="1"/>
                <c:pt idx="0">
                  <c:v>Count of Address</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7-B81B-400A-AB25-F54F597221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B81B-400A-AB25-F54F597221D8}"/>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B-B81B-400A-AB25-F54F597221D8}"/>
              </c:ext>
            </c:extLst>
          </c:dPt>
          <c:cat>
            <c:strRef>
              <c:f>Pivot!$A$229:$A$232</c:f>
              <c:strCache>
                <c:ptCount val="3"/>
                <c:pt idx="0">
                  <c:v>Betty Ockerlander &amp; Grace Zhang</c:v>
                </c:pt>
                <c:pt idx="1">
                  <c:v>Michael Curtis &amp; (Allen) Lijing Yan</c:v>
                </c:pt>
                <c:pt idx="2">
                  <c:v>Vikram Jeet &amp; Steven Fan</c:v>
                </c:pt>
              </c:strCache>
            </c:strRef>
          </c:cat>
          <c:val>
            <c:numRef>
              <c:f>Pivot!$C$229:$C$232</c:f>
              <c:numCache>
                <c:formatCode>General</c:formatCode>
                <c:ptCount val="3"/>
                <c:pt idx="0">
                  <c:v>1</c:v>
                </c:pt>
                <c:pt idx="1">
                  <c:v>1</c:v>
                </c:pt>
                <c:pt idx="2">
                  <c:v>2</c:v>
                </c:pt>
              </c:numCache>
            </c:numRef>
          </c:val>
          <c:extLst>
            <c:ext xmlns:c16="http://schemas.microsoft.com/office/drawing/2014/chart" uri="{C3380CC4-5D6E-409C-BE32-E72D297353CC}">
              <c16:uniqueId val="{00000001-32AA-477F-9D2D-EC2ADC29346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[RealEstate Tracker.xlsx]Pivot!PivotTable20</c:name>
    <c:fmtId val="0"/>
  </c:pivotSource>
  <c:chart>
    <c:title>
      <c:tx>
        <c:rich>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r>
              <a:rPr lang="en-AU"/>
              <a:t>Total</a:t>
            </a:r>
            <a:r>
              <a:rPr lang="en-AU" baseline="0"/>
              <a:t> number of available Properties</a:t>
            </a:r>
            <a:endParaRPr lang="en-AU"/>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endParaRPr lang="en-AU"/>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pivotFmt>
      <c:pivotFmt>
        <c:idx val="18"/>
        <c:spPr>
          <a:solidFill>
            <a:schemeClr val="accent2"/>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Pivot!$B$238</c:f>
              <c:strCache>
                <c:ptCount val="1"/>
                <c:pt idx="0">
                  <c:v>Total</c:v>
                </c:pt>
              </c:strCache>
            </c:strRef>
          </c:tx>
          <c:spPr>
            <a:solidFill>
              <a:schemeClr val="accent2"/>
            </a:solidFill>
            <a:ln>
              <a:noFill/>
            </a:ln>
            <a:effectLst/>
          </c:spPr>
          <c:invertIfNegative val="0"/>
          <c:dPt>
            <c:idx val="6"/>
            <c:invertIfNegative val="0"/>
            <c:bubble3D val="0"/>
            <c:extLst>
              <c:ext xmlns:c16="http://schemas.microsoft.com/office/drawing/2014/chart" uri="{C3380CC4-5D6E-409C-BE32-E72D297353CC}">
                <c16:uniqueId val="{00000000-2391-4C73-A0F8-128151189703}"/>
              </c:ext>
            </c:extLst>
          </c:dPt>
          <c:cat>
            <c:strRef>
              <c:f>Pivot!$A$239:$A$246</c:f>
              <c:strCache>
                <c:ptCount val="7"/>
                <c:pt idx="0">
                  <c:v>0.5M - 1M</c:v>
                </c:pt>
                <c:pt idx="1">
                  <c:v>1.5M - 2M</c:v>
                </c:pt>
                <c:pt idx="2">
                  <c:v>1M - 1.5M</c:v>
                </c:pt>
                <c:pt idx="3">
                  <c:v>2.5M - 3M</c:v>
                </c:pt>
                <c:pt idx="4">
                  <c:v>2M - 2.5M</c:v>
                </c:pt>
                <c:pt idx="5">
                  <c:v>3.5M - 4M</c:v>
                </c:pt>
                <c:pt idx="6">
                  <c:v>3M - 3.5M</c:v>
                </c:pt>
              </c:strCache>
            </c:strRef>
          </c:cat>
          <c:val>
            <c:numRef>
              <c:f>Pivot!$B$239:$B$246</c:f>
              <c:numCache>
                <c:formatCode>General</c:formatCode>
                <c:ptCount val="7"/>
                <c:pt idx="0">
                  <c:v>25</c:v>
                </c:pt>
                <c:pt idx="1">
                  <c:v>28</c:v>
                </c:pt>
                <c:pt idx="2">
                  <c:v>26</c:v>
                </c:pt>
                <c:pt idx="3">
                  <c:v>6</c:v>
                </c:pt>
                <c:pt idx="4">
                  <c:v>9</c:v>
                </c:pt>
                <c:pt idx="5">
                  <c:v>1</c:v>
                </c:pt>
                <c:pt idx="6">
                  <c:v>1</c:v>
                </c:pt>
              </c:numCache>
            </c:numRef>
          </c:val>
          <c:extLst>
            <c:ext xmlns:c16="http://schemas.microsoft.com/office/drawing/2014/chart" uri="{C3380CC4-5D6E-409C-BE32-E72D297353CC}">
              <c16:uniqueId val="{00000000-2E3F-4BFD-8124-C1B3738F799B}"/>
            </c:ext>
          </c:extLst>
        </c:ser>
        <c:dLbls>
          <c:showLegendKey val="0"/>
          <c:showVal val="0"/>
          <c:showCatName val="0"/>
          <c:showSerName val="0"/>
          <c:showPercent val="0"/>
          <c:showBubbleSize val="0"/>
        </c:dLbls>
        <c:gapWidth val="150"/>
        <c:axId val="141235904"/>
        <c:axId val="141236384"/>
      </c:barChart>
      <c:catAx>
        <c:axId val="141235904"/>
        <c:scaling>
          <c:orientation val="minMax"/>
        </c:scaling>
        <c:delete val="1"/>
        <c:axPos val="b"/>
        <c:numFmt formatCode="General" sourceLinked="1"/>
        <c:majorTickMark val="none"/>
        <c:minorTickMark val="none"/>
        <c:tickLblPos val="nextTo"/>
        <c:crossAx val="141236384"/>
        <c:crosses val="autoZero"/>
        <c:auto val="1"/>
        <c:lblAlgn val="ctr"/>
        <c:lblOffset val="100"/>
        <c:noMultiLvlLbl val="0"/>
      </c:catAx>
      <c:valAx>
        <c:axId val="141236384"/>
        <c:scaling>
          <c:orientation val="minMax"/>
        </c:scaling>
        <c:delete val="1"/>
        <c:axPos val="l"/>
        <c:numFmt formatCode="General" sourceLinked="1"/>
        <c:majorTickMark val="none"/>
        <c:minorTickMark val="none"/>
        <c:tickLblPos val="nextTo"/>
        <c:crossAx val="1412359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lang="en-US" sz="900" b="0" i="0" u="none" strike="noStrike" kern="1200" baseline="0">
                <a:solidFill>
                  <a:schemeClr val="dk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[RealEstate Tracker.xlsx]Pivot!PivotTable2</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4 Suburb with most property Listings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4166666666666666"/>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dLbl>
          <c:idx val="0"/>
          <c:layout>
            <c:manualLayout>
              <c:x val="0.17499999999999991"/>
              <c:y val="0"/>
            </c:manualLayout>
          </c:layou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20833333333333323"/>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0.16666666666666669"/>
              <c:y val="9.25925925925924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dLbl>
          <c:idx val="0"/>
          <c:layout>
            <c:manualLayout>
              <c:x val="-0.15833327395161578"/>
              <c:y val="0.15740740740740733"/>
            </c:manualLayout>
          </c:layou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0.16666666666666666"/>
              <c:y val="-5.5555555555555643E-2"/>
            </c:manualLayout>
          </c:layou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9166666666666668"/>
              <c:y val="-0.120370370370370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dLbl>
          <c:idx val="0"/>
          <c:layout>
            <c:manualLayout>
              <c:x val="-0.23333333333333334"/>
              <c:y val="-0.20370370370370369"/>
            </c:manualLayout>
          </c:layou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0.13333333333333333"/>
              <c:y val="-0.23148148148148148"/>
            </c:manualLayout>
          </c:layou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solidFill>
          <a:ln w="19050">
            <a:solidFill>
              <a:schemeClr val="lt1"/>
            </a:solidFill>
          </a:ln>
          <a:effectLst/>
        </c:spPr>
        <c:dLbl>
          <c:idx val="0"/>
          <c:layout>
            <c:manualLayout>
              <c:x val="0.20833333333333323"/>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2"/>
          </a:solidFill>
          <a:ln w="19050">
            <a:solidFill>
              <a:schemeClr val="lt1"/>
            </a:solidFill>
          </a:ln>
          <a:effectLst/>
        </c:spPr>
        <c:dLbl>
          <c:idx val="0"/>
          <c:layout>
            <c:manualLayout>
              <c:x val="0.14166666666666666"/>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2"/>
          </a:solidFill>
          <a:ln w="19050">
            <a:solidFill>
              <a:schemeClr val="lt1"/>
            </a:solidFill>
          </a:ln>
          <a:effectLst/>
        </c:spPr>
        <c:dLbl>
          <c:idx val="0"/>
          <c:layout>
            <c:manualLayout>
              <c:x val="-0.16666666666666669"/>
              <c:y val="9.25925925925924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2"/>
          </a:solidFill>
          <a:ln w="19050">
            <a:solidFill>
              <a:schemeClr val="lt1"/>
            </a:solidFill>
          </a:ln>
          <a:effectLst/>
        </c:spPr>
        <c:dLbl>
          <c:idx val="0"/>
          <c:layout>
            <c:manualLayout>
              <c:x val="-0.19166666666666668"/>
              <c:y val="-0.120370370370370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2">
              <a:tint val="58000"/>
            </a:schemeClr>
          </a:solidFill>
          <a:ln w="19050">
            <a:solidFill>
              <a:schemeClr val="lt1"/>
            </a:solidFill>
          </a:ln>
          <a:effectLst/>
        </c:spPr>
        <c:dLbl>
          <c:idx val="0"/>
          <c:layout>
            <c:manualLayout>
              <c:x val="0.20833333333333323"/>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2">
              <a:tint val="86000"/>
            </a:schemeClr>
          </a:solidFill>
          <a:ln w="19050">
            <a:solidFill>
              <a:schemeClr val="lt1"/>
            </a:solidFill>
          </a:ln>
          <a:effectLst/>
        </c:spPr>
        <c:dLbl>
          <c:idx val="0"/>
          <c:layout>
            <c:manualLayout>
              <c:x val="0.14166666666666666"/>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2">
              <a:shade val="86000"/>
            </a:schemeClr>
          </a:solidFill>
          <a:ln w="19050">
            <a:solidFill>
              <a:schemeClr val="lt1"/>
            </a:solidFill>
          </a:ln>
          <a:effectLst/>
        </c:spPr>
        <c:dLbl>
          <c:idx val="0"/>
          <c:layout>
            <c:manualLayout>
              <c:x val="-0.16666666666666669"/>
              <c:y val="9.25925925925924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2">
              <a:shade val="58000"/>
            </a:schemeClr>
          </a:solidFill>
          <a:ln w="19050">
            <a:solidFill>
              <a:schemeClr val="lt1"/>
            </a:solidFill>
          </a:ln>
          <a:effectLst/>
        </c:spPr>
        <c:dLbl>
          <c:idx val="0"/>
          <c:layout>
            <c:manualLayout>
              <c:x val="-0.19166666666666668"/>
              <c:y val="-0.120370370370370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Pivot!$B$14</c:f>
              <c:strCache>
                <c:ptCount val="1"/>
                <c:pt idx="0">
                  <c:v>Total</c:v>
                </c:pt>
              </c:strCache>
            </c:strRef>
          </c:tx>
          <c:dPt>
            <c:idx val="0"/>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1-316B-4758-8609-2C3929797298}"/>
              </c:ext>
            </c:extLst>
          </c:dPt>
          <c:dPt>
            <c:idx val="1"/>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3-316B-4758-8609-2C3929797298}"/>
              </c:ext>
            </c:extLst>
          </c:dPt>
          <c:dPt>
            <c:idx val="2"/>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5-316B-4758-8609-2C3929797298}"/>
              </c:ext>
            </c:extLst>
          </c:dPt>
          <c:dPt>
            <c:idx val="3"/>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7-316B-4758-8609-2C3929797298}"/>
              </c:ext>
            </c:extLst>
          </c:dPt>
          <c:dLbls>
            <c:dLbl>
              <c:idx val="0"/>
              <c:layout>
                <c:manualLayout>
                  <c:x val="0.20833333333333323"/>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16B-4758-8609-2C3929797298}"/>
                </c:ext>
              </c:extLst>
            </c:dLbl>
            <c:dLbl>
              <c:idx val="1"/>
              <c:layout>
                <c:manualLayout>
                  <c:x val="0.14166666666666666"/>
                  <c:y val="-1.38888888888888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16B-4758-8609-2C3929797298}"/>
                </c:ext>
              </c:extLst>
            </c:dLbl>
            <c:dLbl>
              <c:idx val="2"/>
              <c:layout>
                <c:manualLayout>
                  <c:x val="-0.16666666666666669"/>
                  <c:y val="9.25925925925924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16B-4758-8609-2C3929797298}"/>
                </c:ext>
              </c:extLst>
            </c:dLbl>
            <c:dLbl>
              <c:idx val="3"/>
              <c:layout>
                <c:manualLayout>
                  <c:x val="-0.19166666666666668"/>
                  <c:y val="-0.120370370370370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16B-4758-8609-2C392979729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Pivot!$A$15:$A$19</c:f>
              <c:strCache>
                <c:ptCount val="4"/>
                <c:pt idx="0">
                  <c:v>Epping</c:v>
                </c:pt>
                <c:pt idx="1">
                  <c:v>Guildford</c:v>
                </c:pt>
                <c:pt idx="2">
                  <c:v>Hurstville</c:v>
                </c:pt>
                <c:pt idx="3">
                  <c:v>Parramatta</c:v>
                </c:pt>
              </c:strCache>
            </c:strRef>
          </c:cat>
          <c:val>
            <c:numRef>
              <c:f>Pivot!$B$15:$B$19</c:f>
              <c:numCache>
                <c:formatCode>General</c:formatCode>
                <c:ptCount val="4"/>
                <c:pt idx="0">
                  <c:v>6</c:v>
                </c:pt>
                <c:pt idx="1">
                  <c:v>14</c:v>
                </c:pt>
                <c:pt idx="2">
                  <c:v>28</c:v>
                </c:pt>
                <c:pt idx="3">
                  <c:v>5</c:v>
                </c:pt>
              </c:numCache>
            </c:numRef>
          </c:val>
          <c:extLst>
            <c:ext xmlns:c16="http://schemas.microsoft.com/office/drawing/2014/chart" uri="{C3380CC4-5D6E-409C-BE32-E72D297353CC}">
              <c16:uniqueId val="{00000008-316B-4758-8609-2C3929797298}"/>
            </c:ext>
          </c:extLst>
        </c:ser>
        <c:dLbls>
          <c:showLegendKey val="0"/>
          <c:showVal val="0"/>
          <c:showCatName val="0"/>
          <c:showSerName val="0"/>
          <c:showPercent val="0"/>
          <c:showBubbleSize val="0"/>
          <c:showLeaderLines val="0"/>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[RealEstate Tracker.xlsx]Pivot!PivotTable3</c:name>
    <c:fmtId val="13"/>
  </c:pivotSource>
  <c:chart>
    <c:title>
      <c:tx>
        <c:rich>
          <a:bodyPr rot="0" vert="horz"/>
          <a:lstStyle/>
          <a:p>
            <a:pPr>
              <a:defRPr/>
            </a:pPr>
            <a:r>
              <a:rPr lang="en-US"/>
              <a:t>Top 3 Agency by Property Listed</a:t>
            </a:r>
          </a:p>
        </c:rich>
      </c:tx>
      <c:overlay val="0"/>
      <c:spPr>
        <a:noFill/>
        <a:ln>
          <a:noFill/>
        </a:ln>
        <a:effectLst/>
      </c:spPr>
    </c:title>
    <c:autoTitleDeleted val="0"/>
    <c:pivotFmts>
      <c:pivotFmt>
        <c:idx val="0"/>
        <c:spPr>
          <a:solidFill>
            <a:schemeClr val="accent2">
              <a:lumMod val="60000"/>
              <a:lumOff val="40000"/>
            </a:schemeClr>
          </a:solidFill>
          <a:ln>
            <a:solidFill>
              <a:schemeClr val="accen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2">
              <a:lumMod val="60000"/>
              <a:lumOff val="40000"/>
            </a:schemeClr>
          </a:solidFill>
          <a:ln>
            <a:solidFill>
              <a:schemeClr val="accen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2">
              <a:lumMod val="60000"/>
              <a:lumOff val="40000"/>
            </a:schemeClr>
          </a:solidFill>
          <a:ln>
            <a:solidFill>
              <a:schemeClr val="accen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2">
              <a:lumMod val="60000"/>
              <a:lumOff val="40000"/>
            </a:schemeClr>
          </a:solidFill>
          <a:ln>
            <a:solidFill>
              <a:schemeClr val="accent1"/>
            </a:solidFill>
          </a:ln>
          <a:effectLst/>
        </c:spPr>
        <c:marker>
          <c:symbol val="none"/>
        </c:marker>
        <c:dLbl>
          <c:idx val="0"/>
          <c:delete val="1"/>
          <c:extLst>
            <c:ext xmlns:c15="http://schemas.microsoft.com/office/drawing/2012/chart" uri="{CE6537A1-D6FC-4f65-9D91-7224C49458BB}"/>
          </c:extLst>
        </c:dLbl>
      </c:pivotFmt>
      <c:pivotFmt>
        <c:idx val="4"/>
        <c:spPr>
          <a:solidFill>
            <a:schemeClr val="accent2">
              <a:lumMod val="60000"/>
              <a:lumOff val="40000"/>
            </a:schemeClr>
          </a:solidFill>
          <a:ln>
            <a:solidFill>
              <a:schemeClr val="accen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2">
              <a:lumMod val="60000"/>
              <a:lumOff val="40000"/>
            </a:schemeClr>
          </a:solidFill>
          <a:ln>
            <a:solidFill>
              <a:schemeClr val="accen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2">
              <a:lumMod val="60000"/>
              <a:lumOff val="40000"/>
            </a:schemeClr>
          </a:solidFill>
          <a:ln>
            <a:solidFill>
              <a:schemeClr val="accen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2">
              <a:lumMod val="60000"/>
              <a:lumOff val="40000"/>
            </a:schemeClr>
          </a:solidFill>
          <a:ln>
            <a:solidFill>
              <a:schemeClr val="accent1"/>
            </a:solidFill>
          </a:ln>
          <a:effectLst/>
        </c:spPr>
        <c:marker>
          <c:symbol val="none"/>
        </c:marker>
        <c:dLbl>
          <c:idx val="0"/>
          <c:delete val="1"/>
          <c:extLst>
            <c:ext xmlns:c15="http://schemas.microsoft.com/office/drawing/2012/chart" uri="{CE6537A1-D6FC-4f65-9D91-7224C49458BB}"/>
          </c:extLst>
        </c:dLbl>
      </c:pivotFmt>
      <c:pivotFmt>
        <c:idx val="8"/>
        <c:spPr>
          <a:solidFill>
            <a:schemeClr val="accent2">
              <a:lumMod val="60000"/>
              <a:lumOff val="40000"/>
            </a:schemeClr>
          </a:solidFill>
          <a:ln>
            <a:solidFill>
              <a:schemeClr val="accent1"/>
            </a:solid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Pivot!$B$22</c:f>
              <c:strCache>
                <c:ptCount val="1"/>
                <c:pt idx="0">
                  <c:v>Total</c:v>
                </c:pt>
              </c:strCache>
            </c:strRef>
          </c:tx>
          <c:spPr>
            <a:solidFill>
              <a:schemeClr val="accent2">
                <a:lumMod val="60000"/>
                <a:lumOff val="40000"/>
              </a:schemeClr>
            </a:solidFill>
            <a:ln>
              <a:solidFill>
                <a:schemeClr val="accent1"/>
              </a:solidFill>
            </a:ln>
            <a:effectLst/>
          </c:spPr>
          <c:invertIfNegative val="0"/>
          <c:cat>
            <c:strRef>
              <c:f>Pivot!$A$23:$A$26</c:f>
              <c:strCache>
                <c:ptCount val="3"/>
                <c:pt idx="0">
                  <c:v>LJ Hooker Parramatta | Granville | Guildford | Merrylands</c:v>
                </c:pt>
                <c:pt idx="1">
                  <c:v>McGrath Estate Agents South Hurstville</c:v>
                </c:pt>
                <c:pt idx="2">
                  <c:v>Ray White Hurstville</c:v>
                </c:pt>
              </c:strCache>
            </c:strRef>
          </c:cat>
          <c:val>
            <c:numRef>
              <c:f>Pivot!$B$23:$B$26</c:f>
              <c:numCache>
                <c:formatCode>General</c:formatCode>
                <c:ptCount val="3"/>
                <c:pt idx="0">
                  <c:v>10</c:v>
                </c:pt>
                <c:pt idx="1">
                  <c:v>4</c:v>
                </c:pt>
                <c:pt idx="2">
                  <c:v>4</c:v>
                </c:pt>
              </c:numCache>
            </c:numRef>
          </c:val>
          <c:extLst>
            <c:ext xmlns:c16="http://schemas.microsoft.com/office/drawing/2014/chart" uri="{C3380CC4-5D6E-409C-BE32-E72D297353CC}">
              <c16:uniqueId val="{00000004-F793-4121-90C9-B0F6A2EB1FBA}"/>
            </c:ext>
          </c:extLst>
        </c:ser>
        <c:dLbls>
          <c:showLegendKey val="0"/>
          <c:showVal val="0"/>
          <c:showCatName val="0"/>
          <c:showSerName val="0"/>
          <c:showPercent val="0"/>
          <c:showBubbleSize val="0"/>
        </c:dLbls>
        <c:gapWidth val="219"/>
        <c:overlap val="-27"/>
        <c:axId val="1556803872"/>
        <c:axId val="1556804352"/>
      </c:barChart>
      <c:catAx>
        <c:axId val="155680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556804352"/>
        <c:crosses val="autoZero"/>
        <c:auto val="1"/>
        <c:lblAlgn val="ctr"/>
        <c:lblOffset val="100"/>
        <c:noMultiLvlLbl val="0"/>
      </c:catAx>
      <c:valAx>
        <c:axId val="155680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high"/>
        <c:spPr>
          <a:noFill/>
          <a:ln>
            <a:noFill/>
          </a:ln>
          <a:effectLst/>
        </c:spPr>
        <c:txPr>
          <a:bodyPr rot="-60000000" vert="horz"/>
          <a:lstStyle/>
          <a:p>
            <a:pPr>
              <a:defRPr/>
            </a:pPr>
            <a:endParaRPr lang="en-US"/>
          </a:p>
        </c:txPr>
        <c:crossAx val="1556803872"/>
        <c:crosses val="autoZero"/>
        <c:crossBetween val="between"/>
      </c:valAx>
    </c:plotArea>
    <c:plotVisOnly val="1"/>
    <c:dispBlanksAs val="gap"/>
    <c:showDLblsOverMax val="0"/>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[RealEstate Tracker.xlsx]Pivot!PivotTable6</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5 High yielding Suburb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numFmt formatCode="&quot;$&quot;0.00,,\ &quot;Million&quot;"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Pivot!$B$207</c:f>
              <c:strCache>
                <c:ptCount val="1"/>
                <c:pt idx="0">
                  <c:v>Total</c:v>
                </c:pt>
              </c:strCache>
            </c:strRef>
          </c:tx>
          <c:spPr>
            <a:solidFill>
              <a:schemeClr val="accent2"/>
            </a:solidFill>
            <a:ln>
              <a:noFill/>
            </a:ln>
            <a:effectLst/>
          </c:spPr>
          <c:invertIfNegative val="0"/>
          <c:dLbls>
            <c:numFmt formatCode="&quot;$&quot;0.00,,\ &quot;Million&quot;"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Pivot!$A$208:$A$213</c:f>
              <c:strCache>
                <c:ptCount val="5"/>
                <c:pt idx="0">
                  <c:v>Epping</c:v>
                </c:pt>
                <c:pt idx="1">
                  <c:v>Harris Park</c:v>
                </c:pt>
                <c:pt idx="2">
                  <c:v>Northmead</c:v>
                </c:pt>
                <c:pt idx="3">
                  <c:v>Oatlands</c:v>
                </c:pt>
                <c:pt idx="4">
                  <c:v>Parramatta</c:v>
                </c:pt>
              </c:strCache>
            </c:strRef>
          </c:cat>
          <c:val>
            <c:numRef>
              <c:f>Pivot!$B$208:$B$213</c:f>
              <c:numCache>
                <c:formatCode>"$"#,##0.00</c:formatCode>
                <c:ptCount val="5"/>
                <c:pt idx="0">
                  <c:v>1845000</c:v>
                </c:pt>
                <c:pt idx="1">
                  <c:v>3050000</c:v>
                </c:pt>
                <c:pt idx="2">
                  <c:v>1867500</c:v>
                </c:pt>
                <c:pt idx="3">
                  <c:v>2025000</c:v>
                </c:pt>
                <c:pt idx="4">
                  <c:v>1992000</c:v>
                </c:pt>
              </c:numCache>
            </c:numRef>
          </c:val>
          <c:extLst>
            <c:ext xmlns:c16="http://schemas.microsoft.com/office/drawing/2014/chart" uri="{C3380CC4-5D6E-409C-BE32-E72D297353CC}">
              <c16:uniqueId val="{00000000-6B73-4CCC-8CDE-A3B909247B46}"/>
            </c:ext>
          </c:extLst>
        </c:ser>
        <c:dLbls>
          <c:dLblPos val="outEnd"/>
          <c:showLegendKey val="0"/>
          <c:showVal val="1"/>
          <c:showCatName val="0"/>
          <c:showSerName val="0"/>
          <c:showPercent val="0"/>
          <c:showBubbleSize val="0"/>
        </c:dLbls>
        <c:gapWidth val="182"/>
        <c:axId val="1944376431"/>
        <c:axId val="1944376911"/>
      </c:barChart>
      <c:catAx>
        <c:axId val="19443764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dk1"/>
                </a:solidFill>
                <a:latin typeface="+mn-lt"/>
                <a:ea typeface="+mn-ea"/>
                <a:cs typeface="+mn-cs"/>
              </a:defRPr>
            </a:pPr>
            <a:endParaRPr lang="en-US"/>
          </a:p>
        </c:txPr>
        <c:crossAx val="1944376911"/>
        <c:crosses val="autoZero"/>
        <c:auto val="1"/>
        <c:lblAlgn val="ctr"/>
        <c:lblOffset val="100"/>
        <c:noMultiLvlLbl val="0"/>
      </c:catAx>
      <c:valAx>
        <c:axId val="1944376911"/>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AU"/>
                  <a:t>Average 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quot;$&quot;#,##0.00" sourceLinked="1"/>
        <c:majorTickMark val="out"/>
        <c:minorTickMark val="none"/>
        <c:tickLblPos val="nextTo"/>
        <c:crossAx val="194437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[RealEstate Tracker.xlsx]Pivot!PivotTable14</c:name>
    <c:fmtId val="11"/>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tint val="77000"/>
              </a:schemeClr>
            </a:solidFill>
            <a:ln w="9525">
              <a:solidFill>
                <a:schemeClr val="accent2">
                  <a:tint val="77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2">
                <a:tint val="77000"/>
              </a:schemeClr>
            </a:solidFill>
            <a:ln w="9525">
              <a:solidFill>
                <a:schemeClr val="accent2">
                  <a:tint val="77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tint val="77000"/>
              </a:schemeClr>
            </a:solidFill>
            <a:ln w="9525">
              <a:solidFill>
                <a:schemeClr val="accent2">
                  <a:tint val="77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Pivot!$B$216</c:f>
              <c:strCache>
                <c:ptCount val="1"/>
                <c:pt idx="0">
                  <c:v>Average of PriceClean</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Pivot!$A$217:$A$222</c:f>
              <c:strCache>
                <c:ptCount val="5"/>
                <c:pt idx="0">
                  <c:v>Cameron Langley Real Estate</c:v>
                </c:pt>
                <c:pt idx="1">
                  <c:v>D &amp; D Real Estate</c:v>
                </c:pt>
                <c:pt idx="2">
                  <c:v>McGrath Epping</c:v>
                </c:pt>
                <c:pt idx="3">
                  <c:v>Ray White Parramatta/Oatlands/Northmead</c:v>
                </c:pt>
                <c:pt idx="4">
                  <c:v>Stone Real Estate Northmead</c:v>
                </c:pt>
              </c:strCache>
            </c:strRef>
          </c:cat>
          <c:val>
            <c:numRef>
              <c:f>Pivot!$B$217:$B$222</c:f>
              <c:numCache>
                <c:formatCode>"$"#,##0.00</c:formatCode>
                <c:ptCount val="5"/>
                <c:pt idx="0">
                  <c:v>2880000</c:v>
                </c:pt>
                <c:pt idx="1">
                  <c:v>2650000</c:v>
                </c:pt>
                <c:pt idx="2">
                  <c:v>2995000</c:v>
                </c:pt>
                <c:pt idx="3">
                  <c:v>2683333.3333333335</c:v>
                </c:pt>
                <c:pt idx="4">
                  <c:v>2850000</c:v>
                </c:pt>
              </c:numCache>
            </c:numRef>
          </c:val>
          <c:extLst>
            <c:ext xmlns:c16="http://schemas.microsoft.com/office/drawing/2014/chart" uri="{C3380CC4-5D6E-409C-BE32-E72D297353CC}">
              <c16:uniqueId val="{00000000-856F-4A56-ABFE-9F7A35387F4D}"/>
            </c:ext>
          </c:extLst>
        </c:ser>
        <c:dLbls>
          <c:showLegendKey val="0"/>
          <c:showVal val="1"/>
          <c:showCatName val="0"/>
          <c:showSerName val="0"/>
          <c:showPercent val="0"/>
          <c:showBubbleSize val="0"/>
        </c:dLbls>
        <c:gapWidth val="219"/>
        <c:overlap val="-27"/>
        <c:axId val="72459584"/>
        <c:axId val="72445664"/>
      </c:barChart>
      <c:lineChart>
        <c:grouping val="stacked"/>
        <c:varyColors val="0"/>
        <c:ser>
          <c:idx val="1"/>
          <c:order val="1"/>
          <c:tx>
            <c:strRef>
              <c:f>Pivot!$C$216</c:f>
              <c:strCache>
                <c:ptCount val="1"/>
                <c:pt idx="0">
                  <c:v>Count of PriceClean</c:v>
                </c:pt>
              </c:strCache>
            </c:strRef>
          </c:tx>
          <c:spPr>
            <a:ln w="28575" cap="rnd">
              <a:solidFill>
                <a:schemeClr val="accent2">
                  <a:tint val="77000"/>
                </a:schemeClr>
              </a:solidFill>
              <a:round/>
            </a:ln>
            <a:effectLst/>
          </c:spPr>
          <c:marker>
            <c:symbol val="circle"/>
            <c:size val="5"/>
            <c:spPr>
              <a:solidFill>
                <a:schemeClr val="accent2">
                  <a:tint val="77000"/>
                </a:schemeClr>
              </a:solidFill>
              <a:ln w="9525">
                <a:solidFill>
                  <a:schemeClr val="accent2">
                    <a:tint val="77000"/>
                  </a:schemeClr>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Pivot!$A$217:$A$222</c:f>
              <c:strCache>
                <c:ptCount val="5"/>
                <c:pt idx="0">
                  <c:v>Cameron Langley Real Estate</c:v>
                </c:pt>
                <c:pt idx="1">
                  <c:v>D &amp; D Real Estate</c:v>
                </c:pt>
                <c:pt idx="2">
                  <c:v>McGrath Epping</c:v>
                </c:pt>
                <c:pt idx="3">
                  <c:v>Ray White Parramatta/Oatlands/Northmead</c:v>
                </c:pt>
                <c:pt idx="4">
                  <c:v>Stone Real Estate Northmead</c:v>
                </c:pt>
              </c:strCache>
            </c:strRef>
          </c:cat>
          <c:val>
            <c:numRef>
              <c:f>Pivot!$C$217:$C$222</c:f>
              <c:numCache>
                <c:formatCode>General</c:formatCode>
                <c:ptCount val="5"/>
                <c:pt idx="0">
                  <c:v>1</c:v>
                </c:pt>
                <c:pt idx="1">
                  <c:v>2</c:v>
                </c:pt>
                <c:pt idx="2">
                  <c:v>1</c:v>
                </c:pt>
                <c:pt idx="3">
                  <c:v>3</c:v>
                </c:pt>
                <c:pt idx="4">
                  <c:v>1</c:v>
                </c:pt>
              </c:numCache>
            </c:numRef>
          </c:val>
          <c:smooth val="0"/>
          <c:extLst>
            <c:ext xmlns:c16="http://schemas.microsoft.com/office/drawing/2014/chart" uri="{C3380CC4-5D6E-409C-BE32-E72D297353CC}">
              <c16:uniqueId val="{00000001-856F-4A56-ABFE-9F7A35387F4D}"/>
            </c:ext>
          </c:extLst>
        </c:ser>
        <c:dLbls>
          <c:showLegendKey val="0"/>
          <c:showVal val="1"/>
          <c:showCatName val="0"/>
          <c:showSerName val="0"/>
          <c:showPercent val="0"/>
          <c:showBubbleSize val="0"/>
        </c:dLbls>
        <c:marker val="1"/>
        <c:smooth val="0"/>
        <c:axId val="248585168"/>
        <c:axId val="248575088"/>
      </c:lineChart>
      <c:catAx>
        <c:axId val="7245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dk1"/>
                </a:solidFill>
                <a:latin typeface="+mn-lt"/>
                <a:ea typeface="+mn-ea"/>
                <a:cs typeface="+mn-cs"/>
              </a:defRPr>
            </a:pPr>
            <a:endParaRPr lang="en-US"/>
          </a:p>
        </c:txPr>
        <c:crossAx val="72445664"/>
        <c:crosses val="autoZero"/>
        <c:auto val="1"/>
        <c:lblAlgn val="ctr"/>
        <c:lblOffset val="100"/>
        <c:noMultiLvlLbl val="0"/>
      </c:catAx>
      <c:valAx>
        <c:axId val="72445664"/>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2459584"/>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dispUnitsLbl>
        </c:dispUnits>
      </c:valAx>
      <c:valAx>
        <c:axId val="2485750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48585168"/>
        <c:crosses val="max"/>
        <c:crossBetween val="between"/>
      </c:valAx>
      <c:catAx>
        <c:axId val="248585168"/>
        <c:scaling>
          <c:orientation val="minMax"/>
        </c:scaling>
        <c:delete val="1"/>
        <c:axPos val="b"/>
        <c:numFmt formatCode="General" sourceLinked="1"/>
        <c:majorTickMark val="out"/>
        <c:minorTickMark val="none"/>
        <c:tickLblPos val="nextTo"/>
        <c:crossAx val="24857508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[RealEstate Tracker.xlsx]Pivot!PivotTable20</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AU"/>
              <a:t>Total number of available Properties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AU"/>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Pivot!$B$238</c:f>
              <c:strCache>
                <c:ptCount val="1"/>
                <c:pt idx="0">
                  <c:v>Total</c:v>
                </c:pt>
              </c:strCache>
            </c:strRef>
          </c:tx>
          <c:spPr>
            <a:solidFill>
              <a:schemeClr val="accent2"/>
            </a:solidFill>
            <a:ln>
              <a:noFill/>
            </a:ln>
            <a:effectLst/>
          </c:spPr>
          <c:invertIfNegative val="0"/>
          <c:dPt>
            <c:idx val="6"/>
            <c:invertIfNegative val="0"/>
            <c:bubble3D val="0"/>
            <c:extLst>
              <c:ext xmlns:c16="http://schemas.microsoft.com/office/drawing/2014/chart" uri="{C3380CC4-5D6E-409C-BE32-E72D297353CC}">
                <c16:uniqueId val="{00000000-3D94-46E0-BF60-C22C4DE17EBA}"/>
              </c:ext>
            </c:extLst>
          </c:dPt>
          <c:cat>
            <c:strRef>
              <c:f>Pivot!$A$239:$A$246</c:f>
              <c:strCache>
                <c:ptCount val="7"/>
                <c:pt idx="0">
                  <c:v>0.5M - 1M</c:v>
                </c:pt>
                <c:pt idx="1">
                  <c:v>1.5M - 2M</c:v>
                </c:pt>
                <c:pt idx="2">
                  <c:v>1M - 1.5M</c:v>
                </c:pt>
                <c:pt idx="3">
                  <c:v>2.5M - 3M</c:v>
                </c:pt>
                <c:pt idx="4">
                  <c:v>2M - 2.5M</c:v>
                </c:pt>
                <c:pt idx="5">
                  <c:v>3.5M - 4M</c:v>
                </c:pt>
                <c:pt idx="6">
                  <c:v>3M - 3.5M</c:v>
                </c:pt>
              </c:strCache>
            </c:strRef>
          </c:cat>
          <c:val>
            <c:numRef>
              <c:f>Pivot!$B$239:$B$246</c:f>
              <c:numCache>
                <c:formatCode>General</c:formatCode>
                <c:ptCount val="7"/>
                <c:pt idx="0">
                  <c:v>25</c:v>
                </c:pt>
                <c:pt idx="1">
                  <c:v>28</c:v>
                </c:pt>
                <c:pt idx="2">
                  <c:v>26</c:v>
                </c:pt>
                <c:pt idx="3">
                  <c:v>6</c:v>
                </c:pt>
                <c:pt idx="4">
                  <c:v>9</c:v>
                </c:pt>
                <c:pt idx="5">
                  <c:v>1</c:v>
                </c:pt>
                <c:pt idx="6">
                  <c:v>1</c:v>
                </c:pt>
              </c:numCache>
            </c:numRef>
          </c:val>
          <c:extLst>
            <c:ext xmlns:c16="http://schemas.microsoft.com/office/drawing/2014/chart" uri="{C3380CC4-5D6E-409C-BE32-E72D297353CC}">
              <c16:uniqueId val="{00000001-3D94-46E0-BF60-C22C4DE17EBA}"/>
            </c:ext>
          </c:extLst>
        </c:ser>
        <c:dLbls>
          <c:showLegendKey val="0"/>
          <c:showVal val="0"/>
          <c:showCatName val="0"/>
          <c:showSerName val="0"/>
          <c:showPercent val="0"/>
          <c:showBubbleSize val="0"/>
        </c:dLbls>
        <c:gapWidth val="150"/>
        <c:axId val="141235904"/>
        <c:axId val="141236384"/>
      </c:barChart>
      <c:catAx>
        <c:axId val="141235904"/>
        <c:scaling>
          <c:orientation val="minMax"/>
        </c:scaling>
        <c:delete val="1"/>
        <c:axPos val="b"/>
        <c:numFmt formatCode="General" sourceLinked="1"/>
        <c:majorTickMark val="none"/>
        <c:minorTickMark val="none"/>
        <c:tickLblPos val="nextTo"/>
        <c:crossAx val="141236384"/>
        <c:crosses val="autoZero"/>
        <c:auto val="1"/>
        <c:lblAlgn val="ctr"/>
        <c:lblOffset val="100"/>
        <c:noMultiLvlLbl val="0"/>
      </c:catAx>
      <c:valAx>
        <c:axId val="141236384"/>
        <c:scaling>
          <c:orientation val="minMax"/>
        </c:scaling>
        <c:delete val="1"/>
        <c:axPos val="l"/>
        <c:numFmt formatCode="General" sourceLinked="1"/>
        <c:majorTickMark val="none"/>
        <c:minorTickMark val="none"/>
        <c:tickLblPos val="nextTo"/>
        <c:crossAx val="1412359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[RealEstate Tracker.xlsx]Pivot!PivotTable15</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dk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hade val="65000"/>
            </a:schemeClr>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tint val="65000"/>
            </a:schemeClr>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hade val="65000"/>
            </a:schemeClr>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tint val="65000"/>
            </a:schemeClr>
          </a:solidFill>
          <a:ln w="19050">
            <a:solidFill>
              <a:schemeClr val="lt1"/>
            </a:solidFill>
          </a:ln>
          <a:effectLst/>
        </c:spPr>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shade val="65000"/>
            </a:schemeClr>
          </a:solidFill>
          <a:ln w="19050">
            <a:solidFill>
              <a:schemeClr val="lt1"/>
            </a:solidFill>
          </a:ln>
          <a:effectLst/>
        </c:spPr>
        <c:dLbl>
          <c:idx val="0"/>
          <c:layout>
            <c:manualLayout>
              <c:x val="-4.7751107690967652E-2"/>
              <c:y val="1.0685198896143134E-2"/>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dLbl>
          <c:idx val="0"/>
          <c:layout>
            <c:manualLayout>
              <c:x val="7.9585179484946388E-3"/>
              <c:y val="-7.4796392273002624E-2"/>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2">
              <a:tint val="65000"/>
            </a:schemeClr>
          </a:solidFill>
          <a:ln w="19050">
            <a:solidFill>
              <a:schemeClr val="lt1"/>
            </a:solidFill>
          </a:ln>
          <a:effectLst/>
        </c:spPr>
        <c:dLbl>
          <c:idx val="0"/>
          <c:layout>
            <c:manualLayout>
              <c:x val="4.7751107690967576E-2"/>
              <c:y val="4.8083395032644548E-2"/>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2">
              <a:shade val="65000"/>
            </a:schemeClr>
          </a:solidFill>
          <a:ln w="19050">
            <a:solidFill>
              <a:schemeClr val="lt1"/>
            </a:solidFill>
          </a:ln>
          <a:effectLst/>
        </c:spPr>
        <c:dLbl>
          <c:idx val="0"/>
          <c:layout>
            <c:manualLayout>
              <c:x val="6.7647402562204126E-2"/>
              <c:y val="-0.11219458840950398"/>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2"/>
          </a:solidFill>
          <a:ln w="19050">
            <a:solidFill>
              <a:schemeClr val="lt1"/>
            </a:solidFill>
          </a:ln>
          <a:effectLst/>
        </c:spPr>
        <c:dLbl>
          <c:idx val="0"/>
          <c:layout>
            <c:manualLayout>
              <c:x val="5.9688884613709518E-2"/>
              <c:y val="0.10150938951336071"/>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2">
              <a:tint val="65000"/>
            </a:schemeClr>
          </a:solidFill>
          <a:ln w="19050">
            <a:solidFill>
              <a:schemeClr val="lt1"/>
            </a:solidFill>
          </a:ln>
          <a:effectLst/>
        </c:spPr>
        <c:dLbl>
          <c:idx val="0"/>
          <c:layout>
            <c:manualLayout>
              <c:x val="-5.9688884613709525E-2"/>
              <c:y val="-0.21370397792286469"/>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Pivot!$B$228</c:f>
              <c:strCache>
                <c:ptCount val="1"/>
                <c:pt idx="0">
                  <c:v>Average of PriceClean</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540D-464C-BA2E-8A424368D9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0D-464C-BA2E-8A424368D98F}"/>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540D-464C-BA2E-8A424368D98F}"/>
              </c:ext>
            </c:extLst>
          </c:dPt>
          <c:dLbls>
            <c:dLbl>
              <c:idx val="0"/>
              <c:layout>
                <c:manualLayout>
                  <c:x val="-4.7751107690967652E-2"/>
                  <c:y val="1.068519889614313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40D-464C-BA2E-8A424368D98F}"/>
                </c:ext>
              </c:extLst>
            </c:dLbl>
            <c:dLbl>
              <c:idx val="1"/>
              <c:layout>
                <c:manualLayout>
                  <c:x val="7.9585179484946388E-3"/>
                  <c:y val="-7.479639227300262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40D-464C-BA2E-8A424368D98F}"/>
                </c:ext>
              </c:extLst>
            </c:dLbl>
            <c:dLbl>
              <c:idx val="2"/>
              <c:layout>
                <c:manualLayout>
                  <c:x val="4.7751107690967576E-2"/>
                  <c:y val="4.808339503264454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40D-464C-BA2E-8A424368D98F}"/>
                </c:ext>
              </c:extLst>
            </c:dLbl>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Pivot!$A$229:$A$232</c:f>
              <c:strCache>
                <c:ptCount val="3"/>
                <c:pt idx="0">
                  <c:v>Betty Ockerlander &amp; Grace Zhang</c:v>
                </c:pt>
                <c:pt idx="1">
                  <c:v>Michael Curtis &amp; (Allen) Lijing Yan</c:v>
                </c:pt>
                <c:pt idx="2">
                  <c:v>Vikram Jeet &amp; Steven Fan</c:v>
                </c:pt>
              </c:strCache>
            </c:strRef>
          </c:cat>
          <c:val>
            <c:numRef>
              <c:f>Pivot!$B$229:$B$232</c:f>
              <c:numCache>
                <c:formatCode>"$"#,##0.00</c:formatCode>
                <c:ptCount val="3"/>
                <c:pt idx="0">
                  <c:v>2995000</c:v>
                </c:pt>
                <c:pt idx="1">
                  <c:v>3400000</c:v>
                </c:pt>
                <c:pt idx="2">
                  <c:v>3050000</c:v>
                </c:pt>
              </c:numCache>
            </c:numRef>
          </c:val>
          <c:extLst>
            <c:ext xmlns:c16="http://schemas.microsoft.com/office/drawing/2014/chart" uri="{C3380CC4-5D6E-409C-BE32-E72D297353CC}">
              <c16:uniqueId val="{00000006-540D-464C-BA2E-8A424368D98F}"/>
            </c:ext>
          </c:extLst>
        </c:ser>
        <c:ser>
          <c:idx val="1"/>
          <c:order val="1"/>
          <c:tx>
            <c:strRef>
              <c:f>Pivot!$C$228</c:f>
              <c:strCache>
                <c:ptCount val="1"/>
                <c:pt idx="0">
                  <c:v>Count of Address</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8-540D-464C-BA2E-8A424368D9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540D-464C-BA2E-8A424368D98F}"/>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C-540D-464C-BA2E-8A424368D98F}"/>
              </c:ext>
            </c:extLst>
          </c:dPt>
          <c:dLbls>
            <c:dLbl>
              <c:idx val="0"/>
              <c:layout>
                <c:manualLayout>
                  <c:x val="6.7647402562204126E-2"/>
                  <c:y val="-0.1121945884095039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540D-464C-BA2E-8A424368D98F}"/>
                </c:ext>
              </c:extLst>
            </c:dLbl>
            <c:dLbl>
              <c:idx val="1"/>
              <c:layout>
                <c:manualLayout>
                  <c:x val="5.9688884613709518E-2"/>
                  <c:y val="0.1015093895133607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A-540D-464C-BA2E-8A424368D98F}"/>
                </c:ext>
              </c:extLst>
            </c:dLbl>
            <c:dLbl>
              <c:idx val="2"/>
              <c:layout>
                <c:manualLayout>
                  <c:x val="-5.9688884613709525E-2"/>
                  <c:y val="-0.2137039779228646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540D-464C-BA2E-8A424368D98F}"/>
                </c:ext>
              </c:extLst>
            </c:dLbl>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Pivot!$A$229:$A$232</c:f>
              <c:strCache>
                <c:ptCount val="3"/>
                <c:pt idx="0">
                  <c:v>Betty Ockerlander &amp; Grace Zhang</c:v>
                </c:pt>
                <c:pt idx="1">
                  <c:v>Michael Curtis &amp; (Allen) Lijing Yan</c:v>
                </c:pt>
                <c:pt idx="2">
                  <c:v>Vikram Jeet &amp; Steven Fan</c:v>
                </c:pt>
              </c:strCache>
            </c:strRef>
          </c:cat>
          <c:val>
            <c:numRef>
              <c:f>Pivot!$C$229:$C$232</c:f>
              <c:numCache>
                <c:formatCode>General</c:formatCode>
                <c:ptCount val="3"/>
                <c:pt idx="0">
                  <c:v>1</c:v>
                </c:pt>
                <c:pt idx="1">
                  <c:v>1</c:v>
                </c:pt>
                <c:pt idx="2">
                  <c:v>2</c:v>
                </c:pt>
              </c:numCache>
            </c:numRef>
          </c:val>
          <c:extLst>
            <c:ext xmlns:c16="http://schemas.microsoft.com/office/drawing/2014/chart" uri="{C3380CC4-5D6E-409C-BE32-E72D297353CC}">
              <c16:uniqueId val="{0000000D-540D-464C-BA2E-8A424368D98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ln>
            <a:noFill/>
          </a:ln>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22" fmlaLink="'Combined'!$AA$10" fmlaRange="'Combined'!$AA$2:$AA$8" noThreeD="1" sel="4" val="0"/>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7.png"/><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3.xml"/><Relationship Id="rId11" Type="http://schemas.openxmlformats.org/officeDocument/2006/relationships/image" Target="../media/image5.png"/><Relationship Id="rId5" Type="http://schemas.openxmlformats.org/officeDocument/2006/relationships/chart" Target="../charts/chart12.xml"/><Relationship Id="rId10" Type="http://schemas.openxmlformats.org/officeDocument/2006/relationships/image" Target="../media/image4.svg"/><Relationship Id="rId4" Type="http://schemas.openxmlformats.org/officeDocument/2006/relationships/chart" Target="../charts/chart11.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oneCell">
    <xdr:from>
      <xdr:col>18</xdr:col>
      <xdr:colOff>409575</xdr:colOff>
      <xdr:row>1</xdr:row>
      <xdr:rowOff>19050</xdr:rowOff>
    </xdr:from>
    <xdr:to>
      <xdr:col>21</xdr:col>
      <xdr:colOff>180975</xdr:colOff>
      <xdr:row>15</xdr:row>
      <xdr:rowOff>19050</xdr:rowOff>
    </xdr:to>
    <mc:AlternateContent xmlns:mc="http://schemas.openxmlformats.org/markup-compatibility/2006" xmlns:a14="http://schemas.microsoft.com/office/drawing/2010/main">
      <mc:Choice Requires="a14">
        <xdr:graphicFrame macro="">
          <xdr:nvGraphicFramePr>
            <xdr:cNvPr id="3" name="Suburb 1">
              <a:extLst>
                <a:ext uri="{FF2B5EF4-FFF2-40B4-BE49-F238E27FC236}">
                  <a16:creationId xmlns:a16="http://schemas.microsoft.com/office/drawing/2014/main" id="{222C307C-7110-9B15-F0BC-832568875733}"/>
                </a:ext>
              </a:extLst>
            </xdr:cNvPr>
            <xdr:cNvGraphicFramePr/>
          </xdr:nvGraphicFramePr>
          <xdr:xfrm>
            <a:off x="0" y="0"/>
            <a:ext cx="0" cy="0"/>
          </xdr:xfrm>
          <a:graphic>
            <a:graphicData uri="http://schemas.microsoft.com/office/drawing/2010/slicer">
              <sle:slicer xmlns:sle="http://schemas.microsoft.com/office/drawing/2010/slicer" name="Suburb 1"/>
            </a:graphicData>
          </a:graphic>
        </xdr:graphicFrame>
      </mc:Choice>
      <mc:Fallback xmlns="">
        <xdr:sp macro="" textlink="">
          <xdr:nvSpPr>
            <xdr:cNvPr id="0" name=""/>
            <xdr:cNvSpPr>
              <a:spLocks noTextEdit="1"/>
            </xdr:cNvSpPr>
          </xdr:nvSpPr>
          <xdr:spPr>
            <a:xfrm>
              <a:off x="12172950" y="209550"/>
              <a:ext cx="1828800" cy="2667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457200</xdr:colOff>
      <xdr:row>1</xdr:row>
      <xdr:rowOff>4762</xdr:rowOff>
    </xdr:from>
    <xdr:to>
      <xdr:col>18</xdr:col>
      <xdr:colOff>152400</xdr:colOff>
      <xdr:row>15</xdr:row>
      <xdr:rowOff>80962</xdr:rowOff>
    </xdr:to>
    <xdr:graphicFrame macro="">
      <xdr:nvGraphicFramePr>
        <xdr:cNvPr id="4" name="Chart 3">
          <a:extLst>
            <a:ext uri="{FF2B5EF4-FFF2-40B4-BE49-F238E27FC236}">
              <a16:creationId xmlns:a16="http://schemas.microsoft.com/office/drawing/2014/main" id="{D35FFAC8-3B2D-35A3-DD63-446A3E640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504825</xdr:colOff>
      <xdr:row>15</xdr:row>
      <xdr:rowOff>90487</xdr:rowOff>
    </xdr:from>
    <xdr:to>
      <xdr:col>21</xdr:col>
      <xdr:colOff>447675</xdr:colOff>
      <xdr:row>29</xdr:row>
      <xdr:rowOff>166687</xdr:rowOff>
    </xdr:to>
    <xdr:graphicFrame macro="">
      <xdr:nvGraphicFramePr>
        <xdr:cNvPr id="5" name="Chart 4">
          <a:extLst>
            <a:ext uri="{FF2B5EF4-FFF2-40B4-BE49-F238E27FC236}">
              <a16:creationId xmlns:a16="http://schemas.microsoft.com/office/drawing/2014/main" id="{4A548FE9-E9FF-7146-52B1-0F83264FF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571500</xdr:colOff>
      <xdr:row>56</xdr:row>
      <xdr:rowOff>119062</xdr:rowOff>
    </xdr:from>
    <xdr:to>
      <xdr:col>13</xdr:col>
      <xdr:colOff>447675</xdr:colOff>
      <xdr:row>71</xdr:row>
      <xdr:rowOff>4762</xdr:rowOff>
    </xdr:to>
    <xdr:graphicFrame macro="">
      <xdr:nvGraphicFramePr>
        <xdr:cNvPr id="2" name="Chart 1">
          <a:extLst>
            <a:ext uri="{FF2B5EF4-FFF2-40B4-BE49-F238E27FC236}">
              <a16:creationId xmlns:a16="http://schemas.microsoft.com/office/drawing/2014/main" id="{C16135BB-C4E3-D8C2-777E-C092F6A20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238125</xdr:colOff>
      <xdr:row>16</xdr:row>
      <xdr:rowOff>9526</xdr:rowOff>
    </xdr:from>
    <xdr:to>
      <xdr:col>14</xdr:col>
      <xdr:colOff>304800</xdr:colOff>
      <xdr:row>24</xdr:row>
      <xdr:rowOff>28576</xdr:rowOff>
    </xdr:to>
    <mc:AlternateContent xmlns:mc="http://schemas.openxmlformats.org/markup-compatibility/2006" xmlns:a14="http://schemas.microsoft.com/office/drawing/2010/main">
      <mc:Choice Requires="a14">
        <xdr:graphicFrame macro="">
          <xdr:nvGraphicFramePr>
            <xdr:cNvPr id="6" name="Type">
              <a:extLst>
                <a:ext uri="{FF2B5EF4-FFF2-40B4-BE49-F238E27FC236}">
                  <a16:creationId xmlns:a16="http://schemas.microsoft.com/office/drawing/2014/main" id="{88C865F6-3D30-EF1D-D66F-1F97A521D9E7}"/>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8743950" y="3057526"/>
              <a:ext cx="1828800" cy="15430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18</xdr:row>
      <xdr:rowOff>157162</xdr:rowOff>
    </xdr:from>
    <xdr:to>
      <xdr:col>11</xdr:col>
      <xdr:colOff>152400</xdr:colOff>
      <xdr:row>33</xdr:row>
      <xdr:rowOff>42862</xdr:rowOff>
    </xdr:to>
    <xdr:graphicFrame macro="">
      <xdr:nvGraphicFramePr>
        <xdr:cNvPr id="8" name="Chart 7">
          <a:extLst>
            <a:ext uri="{FF2B5EF4-FFF2-40B4-BE49-F238E27FC236}">
              <a16:creationId xmlns:a16="http://schemas.microsoft.com/office/drawing/2014/main" id="{2AE8BE9E-8B84-E577-B8F2-34DCC8C479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19050</xdr:colOff>
      <xdr:row>181</xdr:row>
      <xdr:rowOff>100012</xdr:rowOff>
    </xdr:from>
    <xdr:to>
      <xdr:col>13</xdr:col>
      <xdr:colOff>238125</xdr:colOff>
      <xdr:row>195</xdr:row>
      <xdr:rowOff>176212</xdr:rowOff>
    </xdr:to>
    <xdr:graphicFrame macro="">
      <xdr:nvGraphicFramePr>
        <xdr:cNvPr id="9" name="Chart 8">
          <a:extLst>
            <a:ext uri="{FF2B5EF4-FFF2-40B4-BE49-F238E27FC236}">
              <a16:creationId xmlns:a16="http://schemas.microsoft.com/office/drawing/2014/main" id="{EC15C7E8-D60E-8F9D-12F3-C884D42145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238124</xdr:colOff>
      <xdr:row>199</xdr:row>
      <xdr:rowOff>52387</xdr:rowOff>
    </xdr:from>
    <xdr:to>
      <xdr:col>11</xdr:col>
      <xdr:colOff>733425</xdr:colOff>
      <xdr:row>213</xdr:row>
      <xdr:rowOff>128587</xdr:rowOff>
    </xdr:to>
    <xdr:graphicFrame macro="">
      <xdr:nvGraphicFramePr>
        <xdr:cNvPr id="7" name="Chart 6">
          <a:extLst>
            <a:ext uri="{FF2B5EF4-FFF2-40B4-BE49-F238E27FC236}">
              <a16:creationId xmlns:a16="http://schemas.microsoft.com/office/drawing/2014/main" id="{1EEF9E5E-0C88-3E7A-AB53-B41616801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238125</xdr:colOff>
      <xdr:row>214</xdr:row>
      <xdr:rowOff>166687</xdr:rowOff>
    </xdr:from>
    <xdr:to>
      <xdr:col>11</xdr:col>
      <xdr:colOff>561975</xdr:colOff>
      <xdr:row>229</xdr:row>
      <xdr:rowOff>52387</xdr:rowOff>
    </xdr:to>
    <xdr:graphicFrame macro="">
      <xdr:nvGraphicFramePr>
        <xdr:cNvPr id="10" name="Chart 9">
          <a:extLst>
            <a:ext uri="{FF2B5EF4-FFF2-40B4-BE49-F238E27FC236}">
              <a16:creationId xmlns:a16="http://schemas.microsoft.com/office/drawing/2014/main" id="{49A86442-E161-EBB3-C195-A1A9C008C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100012</xdr:colOff>
      <xdr:row>228</xdr:row>
      <xdr:rowOff>176212</xdr:rowOff>
    </xdr:from>
    <xdr:to>
      <xdr:col>10</xdr:col>
      <xdr:colOff>481012</xdr:colOff>
      <xdr:row>243</xdr:row>
      <xdr:rowOff>61912</xdr:rowOff>
    </xdr:to>
    <xdr:graphicFrame macro="">
      <xdr:nvGraphicFramePr>
        <xdr:cNvPr id="11" name="Chart 10">
          <a:extLst>
            <a:ext uri="{FF2B5EF4-FFF2-40B4-BE49-F238E27FC236}">
              <a16:creationId xmlns:a16="http://schemas.microsoft.com/office/drawing/2014/main" id="{3BB3C884-A37C-DE9F-9FC2-4AA0C362D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0</xdr:colOff>
      <xdr:row>244</xdr:row>
      <xdr:rowOff>28575</xdr:rowOff>
    </xdr:from>
    <xdr:to>
      <xdr:col>14</xdr:col>
      <xdr:colOff>228600</xdr:colOff>
      <xdr:row>256</xdr:row>
      <xdr:rowOff>109537</xdr:rowOff>
    </xdr:to>
    <xdr:graphicFrame macro="">
      <xdr:nvGraphicFramePr>
        <xdr:cNvPr id="12" name="Chart 11">
          <a:extLst>
            <a:ext uri="{FF2B5EF4-FFF2-40B4-BE49-F238E27FC236}">
              <a16:creationId xmlns:a16="http://schemas.microsoft.com/office/drawing/2014/main" id="{122CD1C8-B819-FE27-13F8-4DA34415C5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13</xdr:col>
      <xdr:colOff>227780</xdr:colOff>
      <xdr:row>229</xdr:row>
      <xdr:rowOff>122289</xdr:rowOff>
    </xdr:from>
    <xdr:to>
      <xdr:col>16</xdr:col>
      <xdr:colOff>18435</xdr:colOff>
      <xdr:row>243</xdr:row>
      <xdr:rowOff>64934</xdr:rowOff>
    </xdr:to>
    <mc:AlternateContent xmlns:mc="http://schemas.openxmlformats.org/markup-compatibility/2006" xmlns:a14="http://schemas.microsoft.com/office/drawing/2010/main">
      <mc:Choice Requires="a14">
        <xdr:graphicFrame macro="">
          <xdr:nvGraphicFramePr>
            <xdr:cNvPr id="13" name="Type 1">
              <a:extLst>
                <a:ext uri="{FF2B5EF4-FFF2-40B4-BE49-F238E27FC236}">
                  <a16:creationId xmlns:a16="http://schemas.microsoft.com/office/drawing/2014/main" id="{633F66E0-8394-F6EA-8539-E8F23580EF61}"/>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8697861" y="44684950"/>
              <a:ext cx="1828800" cy="2667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12700</xdr:colOff>
      <xdr:row>242</xdr:row>
      <xdr:rowOff>19869</xdr:rowOff>
    </xdr:from>
    <xdr:to>
      <xdr:col>17</xdr:col>
      <xdr:colOff>632952</xdr:colOff>
      <xdr:row>255</xdr:row>
      <xdr:rowOff>157111</xdr:rowOff>
    </xdr:to>
    <mc:AlternateContent xmlns:mc="http://schemas.openxmlformats.org/markup-compatibility/2006" xmlns:a14="http://schemas.microsoft.com/office/drawing/2010/main">
      <mc:Choice Requires="a14">
        <xdr:graphicFrame macro="">
          <xdr:nvGraphicFramePr>
            <xdr:cNvPr id="14" name="Suburb">
              <a:extLst>
                <a:ext uri="{FF2B5EF4-FFF2-40B4-BE49-F238E27FC236}">
                  <a16:creationId xmlns:a16="http://schemas.microsoft.com/office/drawing/2014/main" id="{B7EE98F4-928E-9963-9F43-F48209086B90}"/>
                </a:ext>
              </a:extLst>
            </xdr:cNvPr>
            <xdr:cNvGraphicFramePr/>
          </xdr:nvGraphicFramePr>
          <xdr:xfrm>
            <a:off x="0" y="0"/>
            <a:ext cx="0" cy="0"/>
          </xdr:xfrm>
          <a:graphic>
            <a:graphicData uri="http://schemas.microsoft.com/office/drawing/2010/slicer">
              <sle:slicer xmlns:sle="http://schemas.microsoft.com/office/drawing/2010/slicer" name="Suburb"/>
            </a:graphicData>
          </a:graphic>
        </xdr:graphicFrame>
      </mc:Choice>
      <mc:Fallback xmlns="">
        <xdr:sp macro="" textlink="">
          <xdr:nvSpPr>
            <xdr:cNvPr id="0" name=""/>
            <xdr:cNvSpPr>
              <a:spLocks noTextEdit="1"/>
            </xdr:cNvSpPr>
          </xdr:nvSpPr>
          <xdr:spPr>
            <a:xfrm>
              <a:off x="9773265" y="47112288"/>
              <a:ext cx="1828800" cy="2667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561975</xdr:colOff>
      <xdr:row>1</xdr:row>
      <xdr:rowOff>122237</xdr:rowOff>
    </xdr:from>
    <xdr:to>
      <xdr:col>4</xdr:col>
      <xdr:colOff>3079011</xdr:colOff>
      <xdr:row>6</xdr:row>
      <xdr:rowOff>103187</xdr:rowOff>
    </xdr:to>
    <xdr:grpSp>
      <xdr:nvGrpSpPr>
        <xdr:cNvPr id="9" name="Group 8">
          <a:extLst>
            <a:ext uri="{FF2B5EF4-FFF2-40B4-BE49-F238E27FC236}">
              <a16:creationId xmlns:a16="http://schemas.microsoft.com/office/drawing/2014/main" id="{97EDC27C-7717-C5CE-ED0F-BA50704BB2CD}"/>
            </a:ext>
          </a:extLst>
        </xdr:cNvPr>
        <xdr:cNvGrpSpPr/>
      </xdr:nvGrpSpPr>
      <xdr:grpSpPr>
        <a:xfrm>
          <a:off x="2998603" y="310522"/>
          <a:ext cx="2517036" cy="922374"/>
          <a:chOff x="2974975" y="304800"/>
          <a:chExt cx="2517036" cy="933450"/>
        </a:xfrm>
      </xdr:grpSpPr>
      <xdr:grpSp>
        <xdr:nvGrpSpPr>
          <xdr:cNvPr id="15" name="Group 14">
            <a:extLst>
              <a:ext uri="{FF2B5EF4-FFF2-40B4-BE49-F238E27FC236}">
                <a16:creationId xmlns:a16="http://schemas.microsoft.com/office/drawing/2014/main" id="{67E46CC3-A0E6-BBE1-A2DB-DB731E18FC1D}"/>
              </a:ext>
            </a:extLst>
          </xdr:cNvPr>
          <xdr:cNvGrpSpPr/>
        </xdr:nvGrpSpPr>
        <xdr:grpSpPr>
          <a:xfrm>
            <a:off x="2974975" y="304800"/>
            <a:ext cx="2495550" cy="933450"/>
            <a:chOff x="3162300" y="304800"/>
            <a:chExt cx="2114550" cy="933450"/>
          </a:xfrm>
        </xdr:grpSpPr>
        <xdr:sp macro="" textlink="">
          <xdr:nvSpPr>
            <xdr:cNvPr id="2" name="Rectangle: Rounded Corners 1">
              <a:extLst>
                <a:ext uri="{FF2B5EF4-FFF2-40B4-BE49-F238E27FC236}">
                  <a16:creationId xmlns:a16="http://schemas.microsoft.com/office/drawing/2014/main" id="{B2EB9DCB-FD74-2D37-16ED-482A3BD66360}"/>
                </a:ext>
              </a:extLst>
            </xdr:cNvPr>
            <xdr:cNvSpPr/>
          </xdr:nvSpPr>
          <xdr:spPr>
            <a:xfrm>
              <a:off x="3162300" y="314325"/>
              <a:ext cx="2114550" cy="92392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AU" sz="1100"/>
            </a:p>
          </xdr:txBody>
        </xdr:sp>
        <xdr:sp macro="" textlink="">
          <xdr:nvSpPr>
            <xdr:cNvPr id="4" name="Rectangle: Single Corner Rounded 3">
              <a:extLst>
                <a:ext uri="{FF2B5EF4-FFF2-40B4-BE49-F238E27FC236}">
                  <a16:creationId xmlns:a16="http://schemas.microsoft.com/office/drawing/2014/main" id="{8D329248-D293-A682-6B2B-A15840EAEB5C}"/>
                </a:ext>
              </a:extLst>
            </xdr:cNvPr>
            <xdr:cNvSpPr/>
          </xdr:nvSpPr>
          <xdr:spPr>
            <a:xfrm>
              <a:off x="3381376" y="304800"/>
              <a:ext cx="1895474" cy="933450"/>
            </a:xfrm>
            <a:prstGeom prst="round1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AU" sz="1100"/>
            </a:p>
          </xdr:txBody>
        </xdr:sp>
        <xdr:cxnSp macro="">
          <xdr:nvCxnSpPr>
            <xdr:cNvPr id="10" name="Straight Connector 9">
              <a:extLst>
                <a:ext uri="{FF2B5EF4-FFF2-40B4-BE49-F238E27FC236}">
                  <a16:creationId xmlns:a16="http://schemas.microsoft.com/office/drawing/2014/main" id="{167B26EA-7733-3A2D-86CE-5738F85CE7C2}"/>
                </a:ext>
              </a:extLst>
            </xdr:cNvPr>
            <xdr:cNvCxnSpPr/>
          </xdr:nvCxnSpPr>
          <xdr:spPr>
            <a:xfrm>
              <a:off x="4105275" y="447675"/>
              <a:ext cx="0" cy="619125"/>
            </a:xfrm>
            <a:prstGeom prst="line">
              <a:avLst/>
            </a:prstGeom>
          </xdr:spPr>
          <xdr:style>
            <a:lnRef idx="2">
              <a:schemeClr val="accent2"/>
            </a:lnRef>
            <a:fillRef idx="0">
              <a:schemeClr val="accent2"/>
            </a:fillRef>
            <a:effectRef idx="1">
              <a:schemeClr val="accent2"/>
            </a:effectRef>
            <a:fontRef idx="minor">
              <a:schemeClr val="tx1"/>
            </a:fontRef>
          </xdr:style>
        </xdr:cxnSp>
      </xdr:grpSp>
      <xdr:pic>
        <xdr:nvPicPr>
          <xdr:cNvPr id="12" name="Graphic 11" descr="Renovation (House With Sparkles) with solid fill">
            <a:extLst>
              <a:ext uri="{FF2B5EF4-FFF2-40B4-BE49-F238E27FC236}">
                <a16:creationId xmlns:a16="http://schemas.microsoft.com/office/drawing/2014/main" id="{3647DDEB-10A1-277A-DC87-729AB2A358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36925" y="457198"/>
            <a:ext cx="612000" cy="612000"/>
          </a:xfrm>
          <a:prstGeom prst="rect">
            <a:avLst/>
          </a:prstGeom>
        </xdr:spPr>
      </xdr:pic>
      <xdr:sp macro="" textlink="">
        <xdr:nvSpPr>
          <xdr:cNvPr id="13" name="TextBox 12">
            <a:extLst>
              <a:ext uri="{FF2B5EF4-FFF2-40B4-BE49-F238E27FC236}">
                <a16:creationId xmlns:a16="http://schemas.microsoft.com/office/drawing/2014/main" id="{6289C192-F810-6DD5-076A-3D55BEEF07CF}"/>
              </a:ext>
            </a:extLst>
          </xdr:cNvPr>
          <xdr:cNvSpPr txBox="1"/>
        </xdr:nvSpPr>
        <xdr:spPr>
          <a:xfrm>
            <a:off x="4107564" y="864819"/>
            <a:ext cx="1384447" cy="251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000"/>
              <a:t>Total Property Listings</a:t>
            </a:r>
          </a:p>
        </xdr:txBody>
      </xdr:sp>
      <xdr:sp macro="" textlink="Pivot!B11">
        <xdr:nvSpPr>
          <xdr:cNvPr id="14" name="TextBox 13">
            <a:extLst>
              <a:ext uri="{FF2B5EF4-FFF2-40B4-BE49-F238E27FC236}">
                <a16:creationId xmlns:a16="http://schemas.microsoft.com/office/drawing/2014/main" id="{F05228F7-1FC5-C091-70F2-84F3A070AC3B}"/>
              </a:ext>
            </a:extLst>
          </xdr:cNvPr>
          <xdr:cNvSpPr txBox="1"/>
        </xdr:nvSpPr>
        <xdr:spPr>
          <a:xfrm>
            <a:off x="4451350" y="552450"/>
            <a:ext cx="809625" cy="3217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721FF95-A2D8-4BF9-AFF2-422F4B8654AB}" type="TxLink">
              <a:rPr lang="en-US" sz="1800" b="0" i="0" u="none" strike="noStrike">
                <a:solidFill>
                  <a:srgbClr val="000000"/>
                </a:solidFill>
                <a:latin typeface="Aptos Narrow"/>
              </a:rPr>
              <a:pPr algn="ctr"/>
              <a:t>96</a:t>
            </a:fld>
            <a:endParaRPr lang="en-US" sz="1800"/>
          </a:p>
        </xdr:txBody>
      </xdr:sp>
    </xdr:grpSp>
    <xdr:clientData/>
  </xdr:twoCellAnchor>
  <xdr:twoCellAnchor>
    <xdr:from>
      <xdr:col>4</xdr:col>
      <xdr:colOff>3341158</xdr:colOff>
      <xdr:row>1</xdr:row>
      <xdr:rowOff>122237</xdr:rowOff>
    </xdr:from>
    <xdr:to>
      <xdr:col>7</xdr:col>
      <xdr:colOff>340783</xdr:colOff>
      <xdr:row>6</xdr:row>
      <xdr:rowOff>103187</xdr:rowOff>
    </xdr:to>
    <xdr:grpSp>
      <xdr:nvGrpSpPr>
        <xdr:cNvPr id="16" name="Group 15">
          <a:extLst>
            <a:ext uri="{FF2B5EF4-FFF2-40B4-BE49-F238E27FC236}">
              <a16:creationId xmlns:a16="http://schemas.microsoft.com/office/drawing/2014/main" id="{EDB6B4ED-D00E-4665-B613-7AD52F0771F7}"/>
            </a:ext>
          </a:extLst>
        </xdr:cNvPr>
        <xdr:cNvGrpSpPr/>
      </xdr:nvGrpSpPr>
      <xdr:grpSpPr>
        <a:xfrm>
          <a:off x="5777786" y="310522"/>
          <a:ext cx="2393433" cy="922374"/>
          <a:chOff x="3162300" y="304800"/>
          <a:chExt cx="2114550" cy="933450"/>
        </a:xfrm>
      </xdr:grpSpPr>
      <xdr:sp macro="" textlink="">
        <xdr:nvSpPr>
          <xdr:cNvPr id="17" name="Rectangle: Rounded Corners 16">
            <a:extLst>
              <a:ext uri="{FF2B5EF4-FFF2-40B4-BE49-F238E27FC236}">
                <a16:creationId xmlns:a16="http://schemas.microsoft.com/office/drawing/2014/main" id="{2528F2C3-5D78-730B-8C36-F8923FEB19B6}"/>
              </a:ext>
            </a:extLst>
          </xdr:cNvPr>
          <xdr:cNvSpPr/>
        </xdr:nvSpPr>
        <xdr:spPr>
          <a:xfrm>
            <a:off x="3162300" y="314325"/>
            <a:ext cx="2114550" cy="92392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AU" sz="1100"/>
          </a:p>
        </xdr:txBody>
      </xdr:sp>
      <xdr:sp macro="" textlink="">
        <xdr:nvSpPr>
          <xdr:cNvPr id="18" name="Rectangle: Single Corner Rounded 17">
            <a:extLst>
              <a:ext uri="{FF2B5EF4-FFF2-40B4-BE49-F238E27FC236}">
                <a16:creationId xmlns:a16="http://schemas.microsoft.com/office/drawing/2014/main" id="{B7763346-F789-9CC5-1D66-01C48D5DB561}"/>
              </a:ext>
            </a:extLst>
          </xdr:cNvPr>
          <xdr:cNvSpPr/>
        </xdr:nvSpPr>
        <xdr:spPr>
          <a:xfrm>
            <a:off x="3381376" y="304800"/>
            <a:ext cx="1895474" cy="933450"/>
          </a:xfrm>
          <a:prstGeom prst="round1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AU" sz="1100"/>
          </a:p>
        </xdr:txBody>
      </xdr:sp>
      <xdr:cxnSp macro="">
        <xdr:nvCxnSpPr>
          <xdr:cNvPr id="19" name="Straight Connector 18">
            <a:extLst>
              <a:ext uri="{FF2B5EF4-FFF2-40B4-BE49-F238E27FC236}">
                <a16:creationId xmlns:a16="http://schemas.microsoft.com/office/drawing/2014/main" id="{CB37CC8F-5042-5C6E-B175-D1922E6D6E1F}"/>
              </a:ext>
            </a:extLst>
          </xdr:cNvPr>
          <xdr:cNvCxnSpPr/>
        </xdr:nvCxnSpPr>
        <xdr:spPr>
          <a:xfrm>
            <a:off x="4105275" y="447675"/>
            <a:ext cx="0" cy="619125"/>
          </a:xfrm>
          <a:prstGeom prst="line">
            <a:avLst/>
          </a:prstGeom>
        </xdr:spPr>
        <xdr:style>
          <a:lnRef idx="2">
            <a:schemeClr val="accent2"/>
          </a:lnRef>
          <a:fillRef idx="0">
            <a:schemeClr val="accent2"/>
          </a:fillRef>
          <a:effectRef idx="1">
            <a:schemeClr val="accent2"/>
          </a:effectRef>
          <a:fontRef idx="minor">
            <a:schemeClr val="tx1"/>
          </a:fontRef>
        </xdr:style>
      </xdr:cxnSp>
    </xdr:grpSp>
    <xdr:clientData/>
  </xdr:twoCellAnchor>
  <xdr:oneCellAnchor>
    <xdr:from>
      <xdr:col>5</xdr:col>
      <xdr:colOff>1080532</xdr:colOff>
      <xdr:row>4</xdr:row>
      <xdr:rowOff>123825</xdr:rowOff>
    </xdr:from>
    <xdr:ext cx="869597" cy="248851"/>
    <xdr:sp macro="" textlink="">
      <xdr:nvSpPr>
        <xdr:cNvPr id="36" name="TextBox 35">
          <a:extLst>
            <a:ext uri="{FF2B5EF4-FFF2-40B4-BE49-F238E27FC236}">
              <a16:creationId xmlns:a16="http://schemas.microsoft.com/office/drawing/2014/main" id="{E147A38B-9511-4687-972C-5976CC5012F6}"/>
            </a:ext>
          </a:extLst>
        </xdr:cNvPr>
        <xdr:cNvSpPr txBox="1"/>
      </xdr:nvSpPr>
      <xdr:spPr>
        <a:xfrm>
          <a:off x="7105648" y="876965"/>
          <a:ext cx="869597"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a:t>Median  Price</a:t>
          </a:r>
        </a:p>
      </xdr:txBody>
    </xdr:sp>
    <xdr:clientData/>
  </xdr:oneCellAnchor>
  <xdr:twoCellAnchor>
    <xdr:from>
      <xdr:col>7</xdr:col>
      <xdr:colOff>608541</xdr:colOff>
      <xdr:row>1</xdr:row>
      <xdr:rowOff>122237</xdr:rowOff>
    </xdr:from>
    <xdr:to>
      <xdr:col>10</xdr:col>
      <xdr:colOff>173566</xdr:colOff>
      <xdr:row>6</xdr:row>
      <xdr:rowOff>103187</xdr:rowOff>
    </xdr:to>
    <xdr:grpSp>
      <xdr:nvGrpSpPr>
        <xdr:cNvPr id="7" name="Group 6">
          <a:extLst>
            <a:ext uri="{FF2B5EF4-FFF2-40B4-BE49-F238E27FC236}">
              <a16:creationId xmlns:a16="http://schemas.microsoft.com/office/drawing/2014/main" id="{3044A9CC-D49B-8CBA-FBD6-DAD901F90CAC}"/>
            </a:ext>
          </a:extLst>
        </xdr:cNvPr>
        <xdr:cNvGrpSpPr/>
      </xdr:nvGrpSpPr>
      <xdr:grpSpPr>
        <a:xfrm>
          <a:off x="8438977" y="310522"/>
          <a:ext cx="2001653" cy="922374"/>
          <a:chOff x="9512300" y="304800"/>
          <a:chExt cx="1993900" cy="933450"/>
        </a:xfrm>
      </xdr:grpSpPr>
      <xdr:grpSp>
        <xdr:nvGrpSpPr>
          <xdr:cNvPr id="20" name="Group 19">
            <a:extLst>
              <a:ext uri="{FF2B5EF4-FFF2-40B4-BE49-F238E27FC236}">
                <a16:creationId xmlns:a16="http://schemas.microsoft.com/office/drawing/2014/main" id="{82015663-5235-424D-BB58-CC4CDC844BDD}"/>
              </a:ext>
            </a:extLst>
          </xdr:cNvPr>
          <xdr:cNvGrpSpPr/>
        </xdr:nvGrpSpPr>
        <xdr:grpSpPr>
          <a:xfrm>
            <a:off x="9512300" y="304800"/>
            <a:ext cx="1993900" cy="933450"/>
            <a:chOff x="3162300" y="304800"/>
            <a:chExt cx="2114550" cy="933450"/>
          </a:xfrm>
        </xdr:grpSpPr>
        <xdr:sp macro="" textlink="">
          <xdr:nvSpPr>
            <xdr:cNvPr id="21" name="Rectangle: Rounded Corners 20">
              <a:extLst>
                <a:ext uri="{FF2B5EF4-FFF2-40B4-BE49-F238E27FC236}">
                  <a16:creationId xmlns:a16="http://schemas.microsoft.com/office/drawing/2014/main" id="{B5526B72-AE84-8719-F17D-C0351AC8C402}"/>
                </a:ext>
              </a:extLst>
            </xdr:cNvPr>
            <xdr:cNvSpPr/>
          </xdr:nvSpPr>
          <xdr:spPr>
            <a:xfrm>
              <a:off x="3162300" y="314325"/>
              <a:ext cx="2114550" cy="92392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AU" sz="1100"/>
            </a:p>
          </xdr:txBody>
        </xdr:sp>
        <xdr:sp macro="" textlink="">
          <xdr:nvSpPr>
            <xdr:cNvPr id="22" name="Rectangle: Single Corner Rounded 21">
              <a:extLst>
                <a:ext uri="{FF2B5EF4-FFF2-40B4-BE49-F238E27FC236}">
                  <a16:creationId xmlns:a16="http://schemas.microsoft.com/office/drawing/2014/main" id="{9D366C08-99A6-BC29-2BD6-38DDE15BF78B}"/>
                </a:ext>
              </a:extLst>
            </xdr:cNvPr>
            <xdr:cNvSpPr/>
          </xdr:nvSpPr>
          <xdr:spPr>
            <a:xfrm>
              <a:off x="3381376" y="304800"/>
              <a:ext cx="1895474" cy="933450"/>
            </a:xfrm>
            <a:prstGeom prst="round1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AU" sz="1100"/>
            </a:p>
          </xdr:txBody>
        </xdr:sp>
        <xdr:cxnSp macro="">
          <xdr:nvCxnSpPr>
            <xdr:cNvPr id="23" name="Straight Connector 22">
              <a:extLst>
                <a:ext uri="{FF2B5EF4-FFF2-40B4-BE49-F238E27FC236}">
                  <a16:creationId xmlns:a16="http://schemas.microsoft.com/office/drawing/2014/main" id="{61A3D653-EDE3-8812-0ECD-E924CA4ABE9C}"/>
                </a:ext>
              </a:extLst>
            </xdr:cNvPr>
            <xdr:cNvCxnSpPr/>
          </xdr:nvCxnSpPr>
          <xdr:spPr>
            <a:xfrm>
              <a:off x="4105275" y="447675"/>
              <a:ext cx="0" cy="619125"/>
            </a:xfrm>
            <a:prstGeom prst="line">
              <a:avLst/>
            </a:prstGeom>
          </xdr:spPr>
          <xdr:style>
            <a:lnRef idx="2">
              <a:schemeClr val="accent2"/>
            </a:lnRef>
            <a:fillRef idx="0">
              <a:schemeClr val="accent2"/>
            </a:fillRef>
            <a:effectRef idx="1">
              <a:schemeClr val="accent2"/>
            </a:effectRef>
            <a:fontRef idx="minor">
              <a:schemeClr val="tx1"/>
            </a:fontRef>
          </xdr:style>
        </xdr:cxnSp>
      </xdr:grpSp>
      <xdr:sp macro="" textlink="">
        <xdr:nvSpPr>
          <xdr:cNvPr id="37" name="TextBox 36">
            <a:extLst>
              <a:ext uri="{FF2B5EF4-FFF2-40B4-BE49-F238E27FC236}">
                <a16:creationId xmlns:a16="http://schemas.microsoft.com/office/drawing/2014/main" id="{5D222202-873E-49B2-A2CE-9DC3C35101D9}"/>
              </a:ext>
            </a:extLst>
          </xdr:cNvPr>
          <xdr:cNvSpPr txBox="1"/>
        </xdr:nvSpPr>
        <xdr:spPr>
          <a:xfrm>
            <a:off x="10442575" y="885825"/>
            <a:ext cx="847962" cy="251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a:t>Total Listings</a:t>
            </a:r>
          </a:p>
        </xdr:txBody>
      </xdr:sp>
    </xdr:grpSp>
    <xdr:clientData/>
  </xdr:twoCellAnchor>
  <xdr:twoCellAnchor>
    <xdr:from>
      <xdr:col>10</xdr:col>
      <xdr:colOff>441323</xdr:colOff>
      <xdr:row>1</xdr:row>
      <xdr:rowOff>114300</xdr:rowOff>
    </xdr:from>
    <xdr:to>
      <xdr:col>14</xdr:col>
      <xdr:colOff>143748</xdr:colOff>
      <xdr:row>6</xdr:row>
      <xdr:rowOff>95250</xdr:rowOff>
    </xdr:to>
    <xdr:grpSp>
      <xdr:nvGrpSpPr>
        <xdr:cNvPr id="8" name="Group 7">
          <a:extLst>
            <a:ext uri="{FF2B5EF4-FFF2-40B4-BE49-F238E27FC236}">
              <a16:creationId xmlns:a16="http://schemas.microsoft.com/office/drawing/2014/main" id="{FAE66B86-ACD7-8B68-4637-89784CBA173C}"/>
            </a:ext>
          </a:extLst>
        </xdr:cNvPr>
        <xdr:cNvGrpSpPr/>
      </xdr:nvGrpSpPr>
      <xdr:grpSpPr>
        <a:xfrm>
          <a:off x="10708387" y="302585"/>
          <a:ext cx="2139053" cy="922374"/>
          <a:chOff x="11982450" y="304800"/>
          <a:chExt cx="2115523" cy="933450"/>
        </a:xfrm>
      </xdr:grpSpPr>
      <xdr:grpSp>
        <xdr:nvGrpSpPr>
          <xdr:cNvPr id="24" name="Group 23">
            <a:extLst>
              <a:ext uri="{FF2B5EF4-FFF2-40B4-BE49-F238E27FC236}">
                <a16:creationId xmlns:a16="http://schemas.microsoft.com/office/drawing/2014/main" id="{5619D128-CB0D-41C5-8E99-C5981C7D7E72}"/>
              </a:ext>
            </a:extLst>
          </xdr:cNvPr>
          <xdr:cNvGrpSpPr/>
        </xdr:nvGrpSpPr>
        <xdr:grpSpPr>
          <a:xfrm>
            <a:off x="11982450" y="304800"/>
            <a:ext cx="2089150" cy="933450"/>
            <a:chOff x="3162300" y="304800"/>
            <a:chExt cx="2114550" cy="933450"/>
          </a:xfrm>
        </xdr:grpSpPr>
        <xdr:sp macro="" textlink="">
          <xdr:nvSpPr>
            <xdr:cNvPr id="25" name="Rectangle: Rounded Corners 24">
              <a:extLst>
                <a:ext uri="{FF2B5EF4-FFF2-40B4-BE49-F238E27FC236}">
                  <a16:creationId xmlns:a16="http://schemas.microsoft.com/office/drawing/2014/main" id="{A2747F52-EFDA-5010-8215-A48EB43D2B97}"/>
                </a:ext>
              </a:extLst>
            </xdr:cNvPr>
            <xdr:cNvSpPr/>
          </xdr:nvSpPr>
          <xdr:spPr>
            <a:xfrm>
              <a:off x="3162300" y="314325"/>
              <a:ext cx="2114550" cy="92392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AU" sz="1100"/>
            </a:p>
          </xdr:txBody>
        </xdr:sp>
        <xdr:sp macro="" textlink="">
          <xdr:nvSpPr>
            <xdr:cNvPr id="26" name="Rectangle: Single Corner Rounded 25">
              <a:extLst>
                <a:ext uri="{FF2B5EF4-FFF2-40B4-BE49-F238E27FC236}">
                  <a16:creationId xmlns:a16="http://schemas.microsoft.com/office/drawing/2014/main" id="{CFD25125-36CA-9CDA-9C28-1971B36CE43A}"/>
                </a:ext>
              </a:extLst>
            </xdr:cNvPr>
            <xdr:cNvSpPr/>
          </xdr:nvSpPr>
          <xdr:spPr>
            <a:xfrm>
              <a:off x="3381376" y="304800"/>
              <a:ext cx="1895474" cy="933450"/>
            </a:xfrm>
            <a:prstGeom prst="round1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AU" sz="1100"/>
            </a:p>
          </xdr:txBody>
        </xdr:sp>
        <xdr:cxnSp macro="">
          <xdr:nvCxnSpPr>
            <xdr:cNvPr id="27" name="Straight Connector 26">
              <a:extLst>
                <a:ext uri="{FF2B5EF4-FFF2-40B4-BE49-F238E27FC236}">
                  <a16:creationId xmlns:a16="http://schemas.microsoft.com/office/drawing/2014/main" id="{746434AD-4F18-921B-C2B9-B2244CD2EF01}"/>
                </a:ext>
              </a:extLst>
            </xdr:cNvPr>
            <xdr:cNvCxnSpPr/>
          </xdr:nvCxnSpPr>
          <xdr:spPr>
            <a:xfrm>
              <a:off x="4105275" y="447675"/>
              <a:ext cx="0" cy="619125"/>
            </a:xfrm>
            <a:prstGeom prst="line">
              <a:avLst/>
            </a:prstGeom>
          </xdr:spPr>
          <xdr:style>
            <a:lnRef idx="2">
              <a:schemeClr val="accent2"/>
            </a:lnRef>
            <a:fillRef idx="0">
              <a:schemeClr val="accent2"/>
            </a:fillRef>
            <a:effectRef idx="1">
              <a:schemeClr val="accent2"/>
            </a:effectRef>
            <a:fontRef idx="minor">
              <a:schemeClr val="tx1"/>
            </a:fontRef>
          </xdr:style>
        </xdr:cxnSp>
      </xdr:grpSp>
      <xdr:sp macro="" textlink="">
        <xdr:nvSpPr>
          <xdr:cNvPr id="38" name="TextBox 37">
            <a:extLst>
              <a:ext uri="{FF2B5EF4-FFF2-40B4-BE49-F238E27FC236}">
                <a16:creationId xmlns:a16="http://schemas.microsoft.com/office/drawing/2014/main" id="{3D084BA3-4430-4387-90CB-8F19C862F8A9}"/>
              </a:ext>
            </a:extLst>
          </xdr:cNvPr>
          <xdr:cNvSpPr txBox="1"/>
        </xdr:nvSpPr>
        <xdr:spPr>
          <a:xfrm>
            <a:off x="12979400" y="885825"/>
            <a:ext cx="1118573" cy="251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a:t>Price Per Bedroom</a:t>
            </a:r>
          </a:p>
        </xdr:txBody>
      </xdr:sp>
    </xdr:grpSp>
    <xdr:clientData/>
  </xdr:twoCellAnchor>
  <xdr:twoCellAnchor>
    <xdr:from>
      <xdr:col>3</xdr:col>
      <xdr:colOff>133353</xdr:colOff>
      <xdr:row>8</xdr:row>
      <xdr:rowOff>73024</xdr:rowOff>
    </xdr:from>
    <xdr:to>
      <xdr:col>4</xdr:col>
      <xdr:colOff>2692401</xdr:colOff>
      <xdr:row>21</xdr:row>
      <xdr:rowOff>25399</xdr:rowOff>
    </xdr:to>
    <xdr:graphicFrame macro="">
      <xdr:nvGraphicFramePr>
        <xdr:cNvPr id="40" name="Chart 39">
          <a:extLst>
            <a:ext uri="{FF2B5EF4-FFF2-40B4-BE49-F238E27FC236}">
              <a16:creationId xmlns:a16="http://schemas.microsoft.com/office/drawing/2014/main" id="{5F3A53CA-1B1E-49FB-A335-BB4CDBA53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138160</xdr:colOff>
      <xdr:row>21</xdr:row>
      <xdr:rowOff>76200</xdr:rowOff>
    </xdr:from>
    <xdr:to>
      <xdr:col>5</xdr:col>
      <xdr:colOff>33385</xdr:colOff>
      <xdr:row>34</xdr:row>
      <xdr:rowOff>9525</xdr:rowOff>
    </xdr:to>
    <xdr:graphicFrame macro="">
      <xdr:nvGraphicFramePr>
        <xdr:cNvPr id="6" name="Chart 5">
          <a:extLst>
            <a:ext uri="{FF2B5EF4-FFF2-40B4-BE49-F238E27FC236}">
              <a16:creationId xmlns:a16="http://schemas.microsoft.com/office/drawing/2014/main" id="{8579CBE4-C3D3-4E94-8499-C0580840F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333375</xdr:colOff>
      <xdr:row>1</xdr:row>
      <xdr:rowOff>158750</xdr:rowOff>
    </xdr:from>
    <xdr:ext cx="1666482" cy="718530"/>
    <xdr:sp macro="" textlink="">
      <xdr:nvSpPr>
        <xdr:cNvPr id="11" name="TextBox 10">
          <a:extLst>
            <a:ext uri="{FF2B5EF4-FFF2-40B4-BE49-F238E27FC236}">
              <a16:creationId xmlns:a16="http://schemas.microsoft.com/office/drawing/2014/main" id="{349F7451-0D59-5AD5-B1AD-B16BC1AF393A}"/>
            </a:ext>
          </a:extLst>
        </xdr:cNvPr>
        <xdr:cNvSpPr txBox="1"/>
      </xdr:nvSpPr>
      <xdr:spPr>
        <a:xfrm>
          <a:off x="333375" y="349250"/>
          <a:ext cx="1666482"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2000" b="1"/>
            <a:t>NSW Housing </a:t>
          </a:r>
        </a:p>
        <a:p>
          <a:r>
            <a:rPr lang="en-AU" sz="2000" b="1"/>
            <a:t>Dashboard</a:t>
          </a:r>
        </a:p>
      </xdr:txBody>
    </xdr:sp>
    <xdr:clientData/>
  </xdr:oneCellAnchor>
  <xdr:oneCellAnchor>
    <xdr:from>
      <xdr:col>0</xdr:col>
      <xdr:colOff>349250</xdr:colOff>
      <xdr:row>4</xdr:row>
      <xdr:rowOff>142875</xdr:rowOff>
    </xdr:from>
    <xdr:ext cx="2216825" cy="530658"/>
    <xdr:sp macro="" textlink="">
      <xdr:nvSpPr>
        <xdr:cNvPr id="28" name="TextBox 27">
          <a:extLst>
            <a:ext uri="{FF2B5EF4-FFF2-40B4-BE49-F238E27FC236}">
              <a16:creationId xmlns:a16="http://schemas.microsoft.com/office/drawing/2014/main" id="{F80C1938-3735-0DBE-767E-3776805FA442}"/>
            </a:ext>
          </a:extLst>
        </xdr:cNvPr>
        <xdr:cNvSpPr txBox="1"/>
      </xdr:nvSpPr>
      <xdr:spPr>
        <a:xfrm>
          <a:off x="349250" y="904875"/>
          <a:ext cx="221682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400" b="1" i="0"/>
            <a:t>Insights related to property </a:t>
          </a:r>
        </a:p>
        <a:p>
          <a:r>
            <a:rPr lang="en-AU" sz="1400" b="1" i="0"/>
            <a:t>listings...</a:t>
          </a:r>
        </a:p>
      </xdr:txBody>
    </xdr:sp>
    <xdr:clientData/>
  </xdr:oneCellAnchor>
  <xdr:twoCellAnchor>
    <xdr:from>
      <xdr:col>5</xdr:col>
      <xdr:colOff>85725</xdr:colOff>
      <xdr:row>21</xdr:row>
      <xdr:rowOff>76200</xdr:rowOff>
    </xdr:from>
    <xdr:to>
      <xdr:col>11</xdr:col>
      <xdr:colOff>9526</xdr:colOff>
      <xdr:row>34</xdr:row>
      <xdr:rowOff>11020</xdr:rowOff>
    </xdr:to>
    <xdr:graphicFrame macro="">
      <xdr:nvGraphicFramePr>
        <xdr:cNvPr id="29" name="Chart 28">
          <a:extLst>
            <a:ext uri="{FF2B5EF4-FFF2-40B4-BE49-F238E27FC236}">
              <a16:creationId xmlns:a16="http://schemas.microsoft.com/office/drawing/2014/main" id="{22482A9D-EBC4-44DD-8DA0-7A9A557AB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2739616</xdr:colOff>
      <xdr:row>8</xdr:row>
      <xdr:rowOff>73024</xdr:rowOff>
    </xdr:from>
    <xdr:to>
      <xdr:col>9</xdr:col>
      <xdr:colOff>35719</xdr:colOff>
      <xdr:row>21</xdr:row>
      <xdr:rowOff>25844</xdr:rowOff>
    </xdr:to>
    <xdr:graphicFrame macro="">
      <xdr:nvGraphicFramePr>
        <xdr:cNvPr id="30" name="Chart 29">
          <a:extLst>
            <a:ext uri="{FF2B5EF4-FFF2-40B4-BE49-F238E27FC236}">
              <a16:creationId xmlns:a16="http://schemas.microsoft.com/office/drawing/2014/main" id="{C1B8B937-4097-4957-8F3A-B017A1926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83344</xdr:colOff>
      <xdr:row>8</xdr:row>
      <xdr:rowOff>73024</xdr:rowOff>
    </xdr:from>
    <xdr:to>
      <xdr:col>16</xdr:col>
      <xdr:colOff>207347</xdr:colOff>
      <xdr:row>21</xdr:row>
      <xdr:rowOff>26524</xdr:rowOff>
    </xdr:to>
    <xdr:graphicFrame macro="">
      <xdr:nvGraphicFramePr>
        <xdr:cNvPr id="3" name="Chart 2">
          <a:extLst>
            <a:ext uri="{FF2B5EF4-FFF2-40B4-BE49-F238E27FC236}">
              <a16:creationId xmlns:a16="http://schemas.microsoft.com/office/drawing/2014/main" id="{A0B1E903-1539-4664-B193-D451E9125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61708</xdr:colOff>
      <xdr:row>21</xdr:row>
      <xdr:rowOff>76200</xdr:rowOff>
    </xdr:from>
    <xdr:to>
      <xdr:col>16</xdr:col>
      <xdr:colOff>201232</xdr:colOff>
      <xdr:row>34</xdr:row>
      <xdr:rowOff>11700</xdr:rowOff>
    </xdr:to>
    <xdr:graphicFrame macro="">
      <xdr:nvGraphicFramePr>
        <xdr:cNvPr id="5" name="Chart 4">
          <a:extLst>
            <a:ext uri="{FF2B5EF4-FFF2-40B4-BE49-F238E27FC236}">
              <a16:creationId xmlns:a16="http://schemas.microsoft.com/office/drawing/2014/main" id="{19AE0204-14D9-483E-B7C7-95EE27665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77756</xdr:colOff>
      <xdr:row>21</xdr:row>
      <xdr:rowOff>58316</xdr:rowOff>
    </xdr:from>
    <xdr:to>
      <xdr:col>3</xdr:col>
      <xdr:colOff>69592</xdr:colOff>
      <xdr:row>33</xdr:row>
      <xdr:rowOff>184668</xdr:rowOff>
    </xdr:to>
    <mc:AlternateContent xmlns:mc="http://schemas.openxmlformats.org/markup-compatibility/2006" xmlns:a14="http://schemas.microsoft.com/office/drawing/2010/main">
      <mc:Choice Requires="a14">
        <xdr:graphicFrame macro="">
          <xdr:nvGraphicFramePr>
            <xdr:cNvPr id="31" name="Type 2">
              <a:extLst>
                <a:ext uri="{FF2B5EF4-FFF2-40B4-BE49-F238E27FC236}">
                  <a16:creationId xmlns:a16="http://schemas.microsoft.com/office/drawing/2014/main" id="{ADE331FA-6EA4-4D8C-AEE3-F9FDB5096EF6}"/>
                </a:ext>
              </a:extLst>
            </xdr:cNvPr>
            <xdr:cNvGraphicFramePr/>
          </xdr:nvGraphicFramePr>
          <xdr:xfrm>
            <a:off x="0" y="0"/>
            <a:ext cx="0" cy="0"/>
          </xdr:xfrm>
          <a:graphic>
            <a:graphicData uri="http://schemas.microsoft.com/office/drawing/2010/slicer">
              <sle:slicer xmlns:sle="http://schemas.microsoft.com/office/drawing/2010/slicer" name="Type 2"/>
            </a:graphicData>
          </a:graphic>
        </xdr:graphicFrame>
      </mc:Choice>
      <mc:Fallback xmlns="">
        <xdr:sp macro="" textlink="">
          <xdr:nvSpPr>
            <xdr:cNvPr id="0" name=""/>
            <xdr:cNvSpPr>
              <a:spLocks noTextEdit="1"/>
            </xdr:cNvSpPr>
          </xdr:nvSpPr>
          <xdr:spPr>
            <a:xfrm>
              <a:off x="77756" y="4012299"/>
              <a:ext cx="1819307" cy="238577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296162</xdr:colOff>
      <xdr:row>3</xdr:row>
      <xdr:rowOff>47908</xdr:rowOff>
    </xdr:from>
    <xdr:to>
      <xdr:col>9</xdr:col>
      <xdr:colOff>596310</xdr:colOff>
      <xdr:row>4</xdr:row>
      <xdr:rowOff>177516</xdr:rowOff>
    </xdr:to>
    <xdr:sp macro="" textlink="'Combined'!AC11">
      <xdr:nvSpPr>
        <xdr:cNvPr id="32" name="TextBox 31">
          <a:extLst>
            <a:ext uri="{FF2B5EF4-FFF2-40B4-BE49-F238E27FC236}">
              <a16:creationId xmlns:a16="http://schemas.microsoft.com/office/drawing/2014/main" id="{13AD0C14-A6ED-4DC1-969F-AF0EC9D6C85E}"/>
            </a:ext>
          </a:extLst>
        </xdr:cNvPr>
        <xdr:cNvSpPr txBox="1"/>
      </xdr:nvSpPr>
      <xdr:spPr>
        <a:xfrm>
          <a:off x="9444592" y="612763"/>
          <a:ext cx="809625" cy="3178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67C73210-06ED-475C-B87F-AB4A37672FE3}" type="TxLink">
            <a:rPr lang="en-US" sz="1800" b="0" i="0" u="none" strike="noStrike">
              <a:solidFill>
                <a:srgbClr val="000000"/>
              </a:solidFill>
              <a:latin typeface="Aptos Narrow"/>
              <a:ea typeface="+mn-ea"/>
              <a:cs typeface="+mn-cs"/>
            </a:rPr>
            <a:pPr marL="0" indent="0" algn="ctr"/>
            <a:t>6</a:t>
          </a:fld>
          <a:endParaRPr lang="en-US" sz="1800" b="0" i="0" u="none" strike="noStrike">
            <a:solidFill>
              <a:srgbClr val="000000"/>
            </a:solidFill>
            <a:latin typeface="Aptos Narrow"/>
            <a:ea typeface="+mn-ea"/>
            <a:cs typeface="+mn-cs"/>
          </a:endParaRPr>
        </a:p>
      </xdr:txBody>
    </xdr:sp>
    <xdr:clientData/>
  </xdr:twoCellAnchor>
  <xdr:twoCellAnchor>
    <xdr:from>
      <xdr:col>12</xdr:col>
      <xdr:colOff>166134</xdr:colOff>
      <xdr:row>3</xdr:row>
      <xdr:rowOff>47908</xdr:rowOff>
    </xdr:from>
    <xdr:to>
      <xdr:col>14</xdr:col>
      <xdr:colOff>110756</xdr:colOff>
      <xdr:row>4</xdr:row>
      <xdr:rowOff>177516</xdr:rowOff>
    </xdr:to>
    <xdr:sp macro="" textlink="'Combined'!AD11">
      <xdr:nvSpPr>
        <xdr:cNvPr id="33" name="TextBox 32">
          <a:extLst>
            <a:ext uri="{FF2B5EF4-FFF2-40B4-BE49-F238E27FC236}">
              <a16:creationId xmlns:a16="http://schemas.microsoft.com/office/drawing/2014/main" id="{534C363C-7EB6-47B9-A8D3-74A8AC9A1A16}"/>
            </a:ext>
          </a:extLst>
        </xdr:cNvPr>
        <xdr:cNvSpPr txBox="1"/>
      </xdr:nvSpPr>
      <xdr:spPr>
        <a:xfrm>
          <a:off x="11651512" y="612763"/>
          <a:ext cx="1162936" cy="3178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3BD705EE-CB92-48AC-A8CB-44093A278DAB}" type="TxLink">
            <a:rPr lang="en-US" sz="1800" b="0" i="0" u="none" strike="noStrike">
              <a:solidFill>
                <a:srgbClr val="000000"/>
              </a:solidFill>
              <a:latin typeface="Aptos Narrow"/>
              <a:ea typeface="+mn-ea"/>
              <a:cs typeface="+mn-cs"/>
            </a:rPr>
            <a:pPr marL="0" indent="0" algn="ctr"/>
            <a:t>$391,666.67</a:t>
          </a:fld>
          <a:endParaRPr lang="en-US" sz="1800" b="0" i="0" u="none" strike="noStrike">
            <a:solidFill>
              <a:srgbClr val="000000"/>
            </a:solidFill>
            <a:latin typeface="Aptos Narrow"/>
            <a:ea typeface="+mn-ea"/>
            <a:cs typeface="+mn-cs"/>
          </a:endParaRPr>
        </a:p>
      </xdr:txBody>
    </xdr:sp>
    <xdr:clientData/>
  </xdr:twoCellAnchor>
  <xdr:twoCellAnchor>
    <xdr:from>
      <xdr:col>5</xdr:col>
      <xdr:colOff>841744</xdr:colOff>
      <xdr:row>3</xdr:row>
      <xdr:rowOff>47908</xdr:rowOff>
    </xdr:from>
    <xdr:to>
      <xdr:col>7</xdr:col>
      <xdr:colOff>321192</xdr:colOff>
      <xdr:row>4</xdr:row>
      <xdr:rowOff>177516</xdr:rowOff>
    </xdr:to>
    <xdr:sp macro="" textlink="'Combined'!AB11">
      <xdr:nvSpPr>
        <xdr:cNvPr id="34" name="TextBox 33">
          <a:extLst>
            <a:ext uri="{FF2B5EF4-FFF2-40B4-BE49-F238E27FC236}">
              <a16:creationId xmlns:a16="http://schemas.microsoft.com/office/drawing/2014/main" id="{095A192E-F4F5-43F6-BEAE-3E8C75EF3962}"/>
            </a:ext>
          </a:extLst>
        </xdr:cNvPr>
        <xdr:cNvSpPr txBox="1"/>
      </xdr:nvSpPr>
      <xdr:spPr>
        <a:xfrm>
          <a:off x="6866860" y="612763"/>
          <a:ext cx="1284768" cy="3178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0DDD8DC6-D8E0-40EC-884D-15BF362EBC44}" type="TxLink">
            <a:rPr lang="en-US" sz="1800" b="0" i="0" u="none" strike="noStrike">
              <a:solidFill>
                <a:srgbClr val="000000"/>
              </a:solidFill>
              <a:latin typeface="Aptos Narrow"/>
              <a:ea typeface="+mn-ea"/>
              <a:cs typeface="+mn-cs"/>
            </a:rPr>
            <a:pPr marL="0" indent="0" algn="ctr"/>
            <a:t>$1,295,000.00</a:t>
          </a:fld>
          <a:endParaRPr lang="en-US" sz="1800" b="0" i="0" u="none" strike="noStrike">
            <a:solidFill>
              <a:srgbClr val="000000"/>
            </a:solidFill>
            <a:latin typeface="Aptos Narrow"/>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5</xdr:col>
          <xdr:colOff>1000125</xdr:colOff>
          <xdr:row>2</xdr:row>
          <xdr:rowOff>9525</xdr:rowOff>
        </xdr:from>
        <xdr:to>
          <xdr:col>7</xdr:col>
          <xdr:colOff>209550</xdr:colOff>
          <xdr:row>3</xdr:row>
          <xdr:rowOff>28575</xdr:rowOff>
        </xdr:to>
        <xdr:sp macro="" textlink="">
          <xdr:nvSpPr>
            <xdr:cNvPr id="2051" name="Drop Down 3" hidden="1">
              <a:extLst>
                <a:ext uri="{63B3BB69-23CF-44E3-9099-C40C66FF867C}">
                  <a14:compatExt spid="_x0000_s2051"/>
                </a:ext>
                <a:ext uri="{FF2B5EF4-FFF2-40B4-BE49-F238E27FC236}">
                  <a16:creationId xmlns:a16="http://schemas.microsoft.com/office/drawing/2014/main" id="{00000000-0008-0000-0500-00000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5</xdr:col>
      <xdr:colOff>121833</xdr:colOff>
      <xdr:row>2</xdr:row>
      <xdr:rowOff>100340</xdr:rowOff>
    </xdr:from>
    <xdr:to>
      <xdr:col>5</xdr:col>
      <xdr:colOff>733833</xdr:colOff>
      <xdr:row>5</xdr:row>
      <xdr:rowOff>147486</xdr:rowOff>
    </xdr:to>
    <xdr:pic>
      <xdr:nvPicPr>
        <xdr:cNvPr id="41" name="Graphic 40" descr="Wallet with solid fill">
          <a:extLst>
            <a:ext uri="{FF2B5EF4-FFF2-40B4-BE49-F238E27FC236}">
              <a16:creationId xmlns:a16="http://schemas.microsoft.com/office/drawing/2014/main" id="{DC42B26E-E4EC-0360-0D16-C4B33CB2139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146949" y="476910"/>
          <a:ext cx="612000" cy="612000"/>
        </a:xfrm>
        <a:prstGeom prst="rect">
          <a:avLst/>
        </a:prstGeom>
      </xdr:spPr>
    </xdr:pic>
    <xdr:clientData/>
  </xdr:twoCellAnchor>
  <xdr:twoCellAnchor editAs="oneCell">
    <xdr:from>
      <xdr:col>7</xdr:col>
      <xdr:colOff>852820</xdr:colOff>
      <xdr:row>2</xdr:row>
      <xdr:rowOff>88606</xdr:rowOff>
    </xdr:from>
    <xdr:to>
      <xdr:col>8</xdr:col>
      <xdr:colOff>146826</xdr:colOff>
      <xdr:row>5</xdr:row>
      <xdr:rowOff>135752</xdr:rowOff>
    </xdr:to>
    <xdr:pic>
      <xdr:nvPicPr>
        <xdr:cNvPr id="43" name="Graphic 42" descr="Clipboard Checked with solid fill">
          <a:extLst>
            <a:ext uri="{FF2B5EF4-FFF2-40B4-BE49-F238E27FC236}">
              <a16:creationId xmlns:a16="http://schemas.microsoft.com/office/drawing/2014/main" id="{11D013CD-B25A-0F14-01CD-669DC8AFCDF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683256" y="465176"/>
          <a:ext cx="612000" cy="612000"/>
        </a:xfrm>
        <a:prstGeom prst="rect">
          <a:avLst/>
        </a:prstGeom>
      </xdr:spPr>
    </xdr:pic>
    <xdr:clientData/>
  </xdr:twoCellAnchor>
  <xdr:twoCellAnchor editAs="oneCell">
    <xdr:from>
      <xdr:col>11</xdr:col>
      <xdr:colOff>121833</xdr:colOff>
      <xdr:row>2</xdr:row>
      <xdr:rowOff>122493</xdr:rowOff>
    </xdr:from>
    <xdr:to>
      <xdr:col>12</xdr:col>
      <xdr:colOff>124676</xdr:colOff>
      <xdr:row>5</xdr:row>
      <xdr:rowOff>169639</xdr:rowOff>
    </xdr:to>
    <xdr:pic>
      <xdr:nvPicPr>
        <xdr:cNvPr id="45" name="Graphic 44" descr="Gauge with solid fill">
          <a:extLst>
            <a:ext uri="{FF2B5EF4-FFF2-40B4-BE49-F238E27FC236}">
              <a16:creationId xmlns:a16="http://schemas.microsoft.com/office/drawing/2014/main" id="{C95F1334-9AC7-1CAA-65B0-81FD460AE09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998054" y="499063"/>
          <a:ext cx="612000" cy="612000"/>
        </a:xfrm>
        <a:prstGeom prst="rect">
          <a:avLst/>
        </a:prstGeom>
      </xdr:spPr>
    </xdr:pic>
    <xdr:clientData/>
  </xdr:twoCellAnchor>
  <xdr:twoCellAnchor editAs="oneCell">
    <xdr:from>
      <xdr:col>0</xdr:col>
      <xdr:colOff>77529</xdr:colOff>
      <xdr:row>8</xdr:row>
      <xdr:rowOff>66450</xdr:rowOff>
    </xdr:from>
    <xdr:to>
      <xdr:col>3</xdr:col>
      <xdr:colOff>78858</xdr:colOff>
      <xdr:row>21</xdr:row>
      <xdr:rowOff>0</xdr:rowOff>
    </xdr:to>
    <mc:AlternateContent xmlns:mc="http://schemas.openxmlformats.org/markup-compatibility/2006" xmlns:a14="http://schemas.microsoft.com/office/drawing/2010/main">
      <mc:Choice Requires="a14">
        <xdr:graphicFrame macro="">
          <xdr:nvGraphicFramePr>
            <xdr:cNvPr id="46" name="Suburb 2">
              <a:extLst>
                <a:ext uri="{FF2B5EF4-FFF2-40B4-BE49-F238E27FC236}">
                  <a16:creationId xmlns:a16="http://schemas.microsoft.com/office/drawing/2014/main" id="{75DAB10C-33A5-4C7E-86D8-9C37C647C0CF}"/>
                </a:ext>
              </a:extLst>
            </xdr:cNvPr>
            <xdr:cNvGraphicFramePr/>
          </xdr:nvGraphicFramePr>
          <xdr:xfrm>
            <a:off x="0" y="0"/>
            <a:ext cx="0" cy="0"/>
          </xdr:xfrm>
          <a:graphic>
            <a:graphicData uri="http://schemas.microsoft.com/office/drawing/2010/slicer">
              <sle:slicer xmlns:sle="http://schemas.microsoft.com/office/drawing/2010/slicer" name="Suburb 2"/>
            </a:graphicData>
          </a:graphic>
        </xdr:graphicFrame>
      </mc:Choice>
      <mc:Fallback xmlns="">
        <xdr:sp macro="" textlink="">
          <xdr:nvSpPr>
            <xdr:cNvPr id="0" name=""/>
            <xdr:cNvSpPr>
              <a:spLocks noTextEdit="1"/>
            </xdr:cNvSpPr>
          </xdr:nvSpPr>
          <xdr:spPr>
            <a:xfrm>
              <a:off x="77529" y="1572729"/>
              <a:ext cx="1828800" cy="2381254"/>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zul Pradhan" refreshedDate="45892.685536689816" createdVersion="8" refreshedVersion="8" minRefreshableVersion="3" recordCount="96" xr:uid="{18A186C9-AA1F-4512-A6CE-A39B7C8C4956}">
  <cacheSource type="worksheet">
    <worksheetSource name="Combined"/>
  </cacheSource>
  <cacheFields count="16">
    <cacheField name="Price" numFmtId="0">
      <sharedItems/>
    </cacheField>
    <cacheField name="Address" numFmtId="0">
      <sharedItems count="89">
        <s v="8/56 Oatley Parade"/>
        <s v="535 Woodville Road"/>
        <s v="42 &amp; 42A Fairfield Road"/>
        <s v="24/2A Cross Street"/>
        <s v="4/541 King Georges Road"/>
        <s v="1907/1D Greenbank Street"/>
        <s v="Fitzgerald Road"/>
        <s v="83 Church Street"/>
        <s v="10/176 Ray Road"/>
        <s v="3/5 Anderson Road"/>
        <s v="(no street name provided)"/>
        <s v="803/36-38 Oxford Street"/>
        <s v="59 Salisbury  Road"/>
        <s v="565 King Georges Road"/>
        <s v="9A Kims Avenue"/>
        <s v="2/188 Pennant  Street"/>
        <s v="5/22 Grandview Street"/>
        <s v="23 Tennyson Parade"/>
        <s v="1051 Forest Road"/>
        <s v="1 Hewlett Street"/>
        <s v="2007/1D Greenbank Street"/>
        <s v="13/528 Forest Road"/>
        <s v="39 Lodge Ave"/>
        <s v="24 Lennox Street"/>
        <s v="14 Orchid Road"/>
        <s v="1 Chamberlain Road"/>
        <s v="202/34 Millett Street"/>
        <s v="18 Perry Street"/>
        <s v="10 Edna Avenue"/>
        <s v="338 Blaxcell Street"/>
        <s v="39a Glenn Ave"/>
        <s v="17 Chiltern Road"/>
        <s v="213 Excelsior Street"/>
        <s v="173 Park Road"/>
        <s v="9 Bettington Road"/>
        <s v="21 Mackay Road"/>
        <s v="129 Woodville Road"/>
        <s v="171a Croydon Road"/>
        <s v="25 Murray Street"/>
        <s v="43 Hammers Road"/>
        <s v="7 Morven Street"/>
        <s v="20 Denison Street"/>
        <s v="22 Keith Street"/>
        <s v="1 Sinfield Street"/>
        <s v="15 Bolton Street"/>
        <s v="12 Tristram  Street"/>
        <s v="106 Lugarno Parade"/>
        <s v="55 Cardigan Street"/>
        <s v="76 Rosebery Road"/>
        <s v="11 Rickard Street"/>
        <s v="25 Louis Street"/>
        <s v="12 Ballantyne Road"/>
        <s v="6A Queens Avenue"/>
        <s v="17 Neirbo Avenue"/>
        <s v="12 Broughton  Street"/>
        <s v="27 Koorabel Street"/>
        <s v="32 St Aidans Avenue"/>
        <s v="2A Killara Avenue"/>
        <s v="24 Albion Street"/>
        <s v="73 High Street"/>
        <s v="13 Hammers Road"/>
        <s v="59 Midson Road"/>
        <s v="147A Ray Road"/>
        <s v="4 Beatrice Street"/>
        <s v="42 &amp; 44 Station Street East"/>
        <s v="505/11D Mashman Avenue"/>
        <s v="404/2 Barratt Street"/>
        <s v="613/21 Treacy Street"/>
        <s v="707/1D Greenbank St"/>
        <s v="310/458 Forest Road"/>
        <s v="1910/12 Jack Brabham Drive"/>
        <s v="71/12 Dora Street"/>
        <s v="205/11d Mashman Avenue"/>
        <s v="15/38-40 Lawrence Street"/>
        <s v="102/11D Mashman Avenue"/>
        <s v="36/1 Alfred Street"/>
        <s v="4/75 Lawrence Street"/>
        <s v="2/53-61 Wright Street"/>
        <s v="404/33-35 Treacy Street"/>
        <s v="1215/99A Forest Road"/>
        <s v="502/33-35 Treacy Street"/>
        <s v="104/89-93 Railway Parade"/>
        <s v="311/15 Jack Brabham Drive"/>
        <s v="L15, 1503/23-31 Treacy  Street"/>
        <s v="305/15 Jack Brabham  Drive"/>
        <s v="501/1 Ellen Subway"/>
        <s v="Forest Road"/>
        <s v="612/21 Treacy Street"/>
        <s v="205/23-31 Treacy Street"/>
      </sharedItems>
    </cacheField>
    <cacheField name="Suburb" numFmtId="0">
      <sharedItems count="21">
        <s v="Oatley"/>
        <s v="Guildford"/>
        <s v="Hurstville"/>
        <s v="Beverly Hills"/>
        <s v="Ermington"/>
        <s v="Parramatta"/>
        <s v="Epping"/>
        <s v="Northmead"/>
        <s v="Penshurst"/>
        <s v="Lugarno"/>
        <s v="North Parramatta"/>
        <s v="Granville"/>
        <s v="Old Toongabbie"/>
        <s v="Dundas Valley"/>
        <s v="South Granville"/>
        <s v="Dundas"/>
        <s v="Oatlands"/>
        <s v="Peakhurst"/>
        <s v="Mortdale"/>
        <s v="Kingsgrove"/>
        <s v="Harris Park"/>
      </sharedItems>
    </cacheField>
    <cacheField name="PostalCode" numFmtId="0">
      <sharedItems containsSemiMixedTypes="0" containsString="0" containsNumber="1" containsInteger="1" minValue="2115" maxValue="2223"/>
    </cacheField>
    <cacheField name="Type" numFmtId="0">
      <sharedItems count="7">
        <s v="Villa"/>
        <s v="House"/>
        <s v="Apartment"/>
        <s v="Townhouse"/>
        <s v="Duplex"/>
        <s v="Land"/>
        <s v="Other"/>
      </sharedItems>
    </cacheField>
    <cacheField name="Agency" numFmtId="0">
      <sharedItems count="65">
        <s v="PRD OATLEY"/>
        <s v="LJ Hooker Parramatta | Granville | Guildford | Merrylands"/>
        <s v="Laing+Simmons Merrylands"/>
        <s v="buymyplace"/>
        <s v="Sydney Property academy"/>
        <s v="Sydney Boutique Property"/>
        <s v="HOME789"/>
        <s v="Belle Property Wahroonga | Hornsby | Pymble | Thornleigh"/>
        <s v="Apex Investment Alliance"/>
        <s v="McGrath Ryde"/>
        <s v="McGrath Parramatta"/>
        <s v="OXBRIDGE GLOBAL REAL ESTATE"/>
        <s v="Golden Peak Property"/>
        <s v="HT Wills Real Estate St George"/>
        <s v="Hudson McHugh"/>
        <s v="McGrath Oatley"/>
        <s v="Richard Matthews Real Estate"/>
        <s v="Henderson Realty"/>
        <s v="Raine &amp; Horne Parramatta"/>
        <s v="Morning Property"/>
        <s v="Chain Real Estate"/>
        <s v="CIA Real Estate - Auburn"/>
        <s v="Pam Easson Real Estate"/>
        <s v="National Real Estate"/>
        <s v="Maison Bridge Property"/>
        <s v="Hunters Agency &amp; Co Parramatta"/>
        <s v="Waters &amp; Carpenter First National"/>
        <s v="McGrath - St George"/>
        <s v="McGrath Estate Agents South Hurstville"/>
        <s v="Rana Property Group"/>
        <s v="Belle Property Parramatta"/>
        <s v="Riverbank Real Estate"/>
        <s v="Gavan Property"/>
        <s v="Ausrealty"/>
        <s v="Ray White The Ryde Group"/>
        <s v="Century 21 OzGroup Projects"/>
        <s v="Starr Partners Merrylands"/>
        <s v="Ray White Parramatta/Oatlands/Northmead"/>
        <s v="Ray White Georges River"/>
        <s v="NSW Realty"/>
        <s v="Raine &amp; Horne Bardwell Park / Kingsgrove / Earlwood"/>
        <s v="Louis Carr Hills District"/>
        <s v="Stone Real Estate Earlwood"/>
        <s v="D &amp; D Real Estate"/>
        <s v="Stone Real Estate Northmead"/>
        <s v="Cameron Langley Real Estate"/>
        <s v="McGrath Epping"/>
        <s v="Ray White Hurstville"/>
        <s v="Ray White Earlwood l Wolli Creek"/>
        <s v="S K Real Estate"/>
        <s v="Yuans Real Estate"/>
        <s v="PropertyOne Real Estate"/>
        <s v="Ray White Kingsgrove, Bexley North &amp; Beverly Hills"/>
        <s v="Property Place Agency"/>
        <s v="LINK REALTY INTERNATIONAL PTY LIMITED"/>
        <s v="Auswin Property"/>
        <s v="Morton Riverwood"/>
        <s v="Key Asset Real Estate -Sydney"/>
        <s v="Belle Property St George"/>
        <s v="Ray White Punchbowl"/>
        <s v="ELITE REALPROPERTY PTY LTD"/>
        <s v="Xing Wang Property Real Estate"/>
        <s v="Professionals Robert Sharp" u="1"/>
        <s v="McGrath Sans Souci" u="1"/>
        <s v="C &amp; A Real Estate" u="1"/>
      </sharedItems>
    </cacheField>
    <cacheField name="Condition" numFmtId="0">
      <sharedItems count="3">
        <s v="Current"/>
        <s v="Offer"/>
        <s v="New"/>
      </sharedItems>
    </cacheField>
    <cacheField name="Bedroom" numFmtId="0">
      <sharedItems containsSemiMixedTypes="0" containsString="0" containsNumber="1" containsInteger="1" minValue="0" maxValue="20" count="10">
        <n v="3"/>
        <n v="5"/>
        <n v="2"/>
        <n v="4"/>
        <n v="1"/>
        <n v="7"/>
        <n v="6"/>
        <n v="9"/>
        <n v="0"/>
        <n v="20"/>
      </sharedItems>
    </cacheField>
    <cacheField name="Bathroom" numFmtId="0">
      <sharedItems containsSemiMixedTypes="0" containsString="0" containsNumber="1" containsInteger="1" minValue="0" maxValue="21" count="8">
        <n v="2"/>
        <n v="3"/>
        <n v="1"/>
        <n v="4"/>
        <n v="5"/>
        <n v="0"/>
        <n v="21"/>
        <n v="20"/>
      </sharedItems>
    </cacheField>
    <cacheField name="State" numFmtId="0">
      <sharedItems count="1">
        <s v="NSW"/>
      </sharedItems>
    </cacheField>
    <cacheField name="Parking" numFmtId="0">
      <sharedItems containsSemiMixedTypes="0" containsString="0" containsNumber="1" containsInteger="1" minValue="0" maxValue="15"/>
    </cacheField>
    <cacheField name="Agent" numFmtId="0">
      <sharedItems containsBlank="1" count="89">
        <s v="Ian Ludlam &amp; James Walters"/>
        <s v="Joseph Nasr"/>
        <s v="George Lattouf"/>
        <s v="buymyplace ."/>
        <s v="Roy Hwang &amp; Ian Cha"/>
        <s v="unavailable"/>
        <s v="HOME info &amp; HOME info"/>
        <s v="Andrew Searle"/>
        <s v="Eddy Ng &amp; Alan Ka Fai Chan"/>
        <s v="Jackson Wong"/>
        <s v="Arthur Kolovos &amp; Sam Dalgliesh"/>
        <s v="Terence Lee"/>
        <s v="Nino Tang &amp; Amelia Chu"/>
        <s v="Joseph Nasr &amp; Joe Guida"/>
        <s v="Jerry Kurzveil &amp; Steve Mishevski"/>
        <s v="Ian Ludlam &amp; Marcus Anevski"/>
        <s v="Team Aaron X Rowan &amp; Sandra Aquilina"/>
        <s v="Jackie Wang &amp; Gautier Lam"/>
        <s v="Anita Mirosevic &amp; Sam Dehaiby"/>
        <s v="Aaron Purches &amp; Joshua Smyth"/>
        <s v="Ken (Hiroyoshi) Miyagawa"/>
        <s v="Yin Ho Wong &amp; Jimmy Pei-ru Wu"/>
        <s v="Cecilia (Xue Yuan) Chen &amp; David (Feng) Yao"/>
        <s v="Tommy Ha &amp; Allana Kazzi"/>
        <s v="Soon Tee &amp; Ronica Leung"/>
        <s v="Joelle Achi &amp; Sofia Makdissi"/>
        <s v="Steve Mishevski &amp; John Sarigiannis"/>
        <s v="Tom Chan &amp; Tim Yunsheng CHENG"/>
        <s v="Jacob Georgievski &amp; Mario Trivor"/>
        <s v="Joe Salah"/>
        <s v="Lisa Hardy"/>
        <s v="Chris Kaltoum &amp; Ashton Jafarian"/>
        <s v="Steven Khawam"/>
        <s v="Sandy Shi &amp; Alex (Yinqiu) Cheng"/>
        <s v="Ramez Riad &amp; Jason Guan"/>
        <s v="Soon Tee"/>
        <s v="Lynn Chen &amp; Ayhan Emeli"/>
        <s v="Linda Yu &amp; Kahili Lynch"/>
        <s v="Alfredo De Assis"/>
        <s v="Justin Spencer &amp; Raymond  Khadi"/>
        <s v="Hassan Derbas &amp; Jordan Laoulach"/>
        <s v="Daniel Gavan &amp; Cecily Zhu"/>
        <s v="Hani Obeid &amp; Narz Sayed"/>
        <s v="Nick Matulic"/>
        <s v="Yolanda (Dandan) ZOU &amp; Jacky (Xinliang) Yang"/>
        <s v="Fred Nazari"/>
        <s v="Daniel Gavan &amp; Andrew Taylor"/>
        <s v="Matt Carpenter"/>
        <s v="Alexander Sallit"/>
        <s v="Ramin Rahimi &amp; Matt Carpenter"/>
        <s v="Joe Bechara &amp; Soon Tee"/>
        <s v="Fraser Glen &amp; Jorja Blanch"/>
        <s v="Joseph Casalicchio &amp; Sandro Musumeci"/>
        <s v="Matt Brooks &amp; Ellouise Paine"/>
        <s v="Joseph Nasr &amp; Anthony Rizk"/>
        <s v="Theo Samos &amp; Anthony Klironomos"/>
        <s v="Dean Muriti"/>
        <s v="Michael Alidenes &amp; George Karafotias"/>
        <s v="Vikram Jeet &amp; Steven Fan"/>
        <s v="Azzam Derbas"/>
        <s v="Ashton Beukers &amp; Brittany  Beukers"/>
        <s v="Cameron  Langley"/>
        <s v="Betty Ockerlander &amp; Grace Zhang"/>
        <s v="Michael Curtis &amp; (Allen) Lijing Yan"/>
        <s v="Joseph Safetly &amp; Manal Younes"/>
        <s v="Alyssa Liao &amp; Tina La Macchia"/>
        <s v="Marco Kwong &amp; Sherman Kwong"/>
        <s v="Stephen Yuan"/>
        <s v="Linda Yu &amp; Daniel Yang"/>
        <s v="Khan Hossain &amp; Abdullah Jubaer"/>
        <s v="Karl Flaifel &amp; George Boghos"/>
        <s v="Sarah Sevdalis"/>
        <s v="Alyssa Liao &amp; Michael Curtis"/>
        <s v="Michael Curtis &amp; Alyssa Liao"/>
        <s v="Vicky Weizhen Mi"/>
        <s v="Renee Robertshaw &amp; Tom McIvor"/>
        <s v="Winnie Huang"/>
        <s v="Daniel Sutarov &amp; Daniel Tonkonogy"/>
        <s v="Nada Fayad"/>
        <s v="Henry Ng"/>
        <s v="Haris Softic &amp; Kristina Lee"/>
        <s v="Julia Zeinoun"/>
        <s v="Lily Tsui &amp; Stephen Lai"/>
        <s v="TIM WANG"/>
        <s v="Gavin Sharp &amp; Timothy Win" u="1"/>
        <s v="Linda Yu &amp; Anthony Pearson" u="1"/>
        <m u="1"/>
        <s v="Gihad Chami &amp; Sales Team" u="1"/>
        <s v="Betty Ockerlander &amp; Cassie Lu" u="1"/>
      </sharedItems>
    </cacheField>
    <cacheField name="Pictures" numFmtId="0">
      <sharedItems containsSemiMixedTypes="0" containsString="0" containsNumber="1" containsInteger="1" minValue="0" maxValue="35"/>
    </cacheField>
    <cacheField name="ListingDate" numFmtId="0">
      <sharedItems/>
    </cacheField>
    <cacheField name="OpenHouse" numFmtId="0">
      <sharedItems count="2">
        <s v="FALSE"/>
        <s v="TRUE"/>
      </sharedItems>
    </cacheField>
    <cacheField name="PriceClean" numFmtId="164">
      <sharedItems containsSemiMixedTypes="0" containsString="0" containsNumber="1" containsInteger="1" minValue="595000" maxValue="3600000" count="65">
        <n v="1050000"/>
        <n v="1080000"/>
        <n v="1090000"/>
        <n v="1125000"/>
        <n v="1150000"/>
        <n v="1165000"/>
        <n v="1195000"/>
        <n v="1200000"/>
        <n v="1299000"/>
        <n v="1380000"/>
        <n v="1390000"/>
        <n v="1395000"/>
        <n v="1400000"/>
        <n v="1435000"/>
        <n v="1470000"/>
        <n v="1490000"/>
        <n v="1495000"/>
        <n v="1500000"/>
        <n v="1550000"/>
        <n v="1600000"/>
        <n v="1650000"/>
        <n v="1750000"/>
        <n v="1768000"/>
        <n v="1800000"/>
        <n v="1820000"/>
        <n v="1825000"/>
        <n v="1850000"/>
        <n v="1900000"/>
        <n v="1950000"/>
        <n v="2000000"/>
        <n v="2075000"/>
        <n v="2100000"/>
        <n v="2150000"/>
        <n v="2200000"/>
        <n v="2290000"/>
        <n v="2300000"/>
        <n v="2350000"/>
        <n v="2500000"/>
        <n v="2650000"/>
        <n v="2850000"/>
        <n v="2880000"/>
        <n v="2995000"/>
        <n v="3400000"/>
        <n v="3600000"/>
        <n v="595000"/>
        <n v="599000"/>
        <n v="658000"/>
        <n v="659000"/>
        <n v="700000"/>
        <n v="710000"/>
        <n v="739000"/>
        <n v="739500"/>
        <n v="749000"/>
        <n v="780000"/>
        <n v="790000"/>
        <n v="828000"/>
        <n v="830000"/>
        <n v="880000"/>
        <n v="895000"/>
        <n v="899000"/>
        <n v="915000"/>
        <n v="919950"/>
        <n v="920000"/>
        <n v="938000"/>
        <n v="950000"/>
      </sharedItems>
    </cacheField>
  </cacheFields>
  <extLst>
    <ext xmlns:x14="http://schemas.microsoft.com/office/spreadsheetml/2009/9/main" uri="{725AE2AE-9491-48be-B2B4-4EB974FC3084}">
      <x14:pivotCacheDefinition pivotCacheId="844606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zul Pradhan" refreshedDate="45892.921435069446" backgroundQuery="1" createdVersion="8" refreshedVersion="8" minRefreshableVersion="3" recordCount="0" supportSubquery="1" supportAdvancedDrill="1" xr:uid="{70CE9EBF-98C7-4539-B407-C73D2A817737}">
  <cacheSource type="external" connectionId="4"/>
  <cacheFields count="2">
    <cacheField name="[Combined].[PriceRange].[PriceRange]" caption="PriceRange" numFmtId="0" hierarchy="16" level="1">
      <sharedItems count="7">
        <s v="0.5M - 1M"/>
        <s v="1.5M - 2M"/>
        <s v="1M - 1.5M"/>
        <s v="2.5M - 3M"/>
        <s v="2M - 2.5M"/>
        <s v="3.5M - 4M"/>
        <s v="3M - 3.5M"/>
      </sharedItems>
    </cacheField>
    <cacheField name="[Measures].[Count of PriceClean]" caption="Count of PriceClean" numFmtId="0" hierarchy="22" level="32767"/>
  </cacheFields>
  <cacheHierarchies count="24">
    <cacheHierarchy uniqueName="[Combined].[Price]" caption="Price" attribute="1" defaultMemberUniqueName="[Combined].[Price].[All]" allUniqueName="[Combined].[Price].[All]" dimensionUniqueName="[Combined]" displayFolder="" count="0" memberValueDatatype="130" unbalanced="0"/>
    <cacheHierarchy uniqueName="[Combined].[Address]" caption="Address" attribute="1" defaultMemberUniqueName="[Combined].[Address].[All]" allUniqueName="[Combined].[Address].[All]" dimensionUniqueName="[Combined]" displayFolder="" count="0" memberValueDatatype="130" unbalanced="0"/>
    <cacheHierarchy uniqueName="[Combined].[Suburb]" caption="Suburb" attribute="1" defaultMemberUniqueName="[Combined].[Suburb].[All]" allUniqueName="[Combined].[Suburb].[All]" dimensionUniqueName="[Combined]" displayFolder="" count="0" memberValueDatatype="130" unbalanced="0"/>
    <cacheHierarchy uniqueName="[Combined].[PostalCode]" caption="PostalCode" attribute="1" defaultMemberUniqueName="[Combined].[PostalCode].[All]" allUniqueName="[Combined].[PostalCode].[All]" dimensionUniqueName="[Combined]" displayFolder="" count="0" memberValueDatatype="20" unbalanced="0"/>
    <cacheHierarchy uniqueName="[Combined].[Type]" caption="Type" attribute="1" defaultMemberUniqueName="[Combined].[Type].[All]" allUniqueName="[Combined].[Type].[All]" dimensionUniqueName="[Combined]" displayFolder="" count="0" memberValueDatatype="130" unbalanced="0"/>
    <cacheHierarchy uniqueName="[Combined].[Agency]" caption="Agency" attribute="1" defaultMemberUniqueName="[Combined].[Agency].[All]" allUniqueName="[Combined].[Agency].[All]" dimensionUniqueName="[Combined]" displayFolder="" count="0" memberValueDatatype="130" unbalanced="0"/>
    <cacheHierarchy uniqueName="[Combined].[Condition]" caption="Condition" attribute="1" defaultMemberUniqueName="[Combined].[Condition].[All]" allUniqueName="[Combined].[Condition].[All]" dimensionUniqueName="[Combined]" displayFolder="" count="0" memberValueDatatype="130" unbalanced="0"/>
    <cacheHierarchy uniqueName="[Combined].[Bedroom]" caption="Bedroom" attribute="1" defaultMemberUniqueName="[Combined].[Bedroom].[All]" allUniqueName="[Combined].[Bedroom].[All]" dimensionUniqueName="[Combined]" displayFolder="" count="0" memberValueDatatype="130" unbalanced="0"/>
    <cacheHierarchy uniqueName="[Combined].[Bathroom]" caption="Bathroom" attribute="1" defaultMemberUniqueName="[Combined].[Bathroom].[All]" allUniqueName="[Combined].[Bathroom].[All]" dimensionUniqueName="[Combined]" displayFolder="" count="0" memberValueDatatype="130" unbalanced="0"/>
    <cacheHierarchy uniqueName="[Combined].[State]" caption="State" attribute="1" defaultMemberUniqueName="[Combined].[State].[All]" allUniqueName="[Combined].[State].[All]" dimensionUniqueName="[Combined]" displayFolder="" count="0" memberValueDatatype="130" unbalanced="0"/>
    <cacheHierarchy uniqueName="[Combined].[Parking]" caption="Parking" attribute="1" defaultMemberUniqueName="[Combined].[Parking].[All]" allUniqueName="[Combined].[Parking].[All]" dimensionUniqueName="[Combined]" displayFolder="" count="0" memberValueDatatype="130" unbalanced="0"/>
    <cacheHierarchy uniqueName="[Combined].[Agent]" caption="Agent" attribute="1" defaultMemberUniqueName="[Combined].[Agent].[All]" allUniqueName="[Combined].[Agent].[All]" dimensionUniqueName="[Combined]" displayFolder="" count="0" memberValueDatatype="130" unbalanced="0"/>
    <cacheHierarchy uniqueName="[Combined].[Pictures]" caption="Pictures" attribute="1" defaultMemberUniqueName="[Combined].[Pictures].[All]" allUniqueName="[Combined].[Pictures].[All]" dimensionUniqueName="[Combined]" displayFolder="" count="0" memberValueDatatype="20" unbalanced="0"/>
    <cacheHierarchy uniqueName="[Combined].[ListingDate]" caption="ListingDate" attribute="1" defaultMemberUniqueName="[Combined].[ListingDate].[All]" allUniqueName="[Combined].[ListingDate].[All]" dimensionUniqueName="[Combined]" displayFolder="" count="0" memberValueDatatype="130" unbalanced="0"/>
    <cacheHierarchy uniqueName="[Combined].[OpenHouse]" caption="OpenHouse" attribute="1" defaultMemberUniqueName="[Combined].[OpenHouse].[All]" allUniqueName="[Combined].[OpenHouse].[All]" dimensionUniqueName="[Combined]" displayFolder="" count="0" memberValueDatatype="130" unbalanced="0"/>
    <cacheHierarchy uniqueName="[Combined].[PriceClean]" caption="PriceClean" attribute="1" defaultMemberUniqueName="[Combined].[PriceClean].[All]" allUniqueName="[Combined].[PriceClean].[All]" dimensionUniqueName="[Combined]" displayFolder="" count="0" memberValueDatatype="20" unbalanced="0"/>
    <cacheHierarchy uniqueName="[Combined].[PriceRange]" caption="PriceRange" attribute="1" defaultMemberUniqueName="[Combined].[PriceRange].[All]" allUniqueName="[Combined].[PriceRange].[All]" dimensionUniqueName="[Combined]" displayFolder="" count="2" memberValueDatatype="130" unbalanced="0">
      <fieldsUsage count="2">
        <fieldUsage x="-1"/>
        <fieldUsage x="0"/>
      </fieldsUsage>
    </cacheHierarchy>
    <cacheHierarchy uniqueName="[Measures].[__XL_Count Combined]" caption="__XL_Count Combined" measure="1" displayFolder="" measureGroup="Combined" count="0" hidden="1"/>
    <cacheHierarchy uniqueName="[Measures].[__No measures defined]" caption="__No measures defined" measure="1" displayFolder="" count="0" hidden="1"/>
    <cacheHierarchy uniqueName="[Measures].[Average of PriceClean]" caption="Average of PriceClean" measure="1" displayFolder="" measureGroup="Combined" count="0" hidden="1">
      <extLst>
        <ext xmlns:x15="http://schemas.microsoft.com/office/spreadsheetml/2010/11/main" uri="{B97F6D7D-B522-45F9-BDA1-12C45D357490}">
          <x15:cacheHierarchy aggregatedColumn="15"/>
        </ext>
      </extLst>
    </cacheHierarchy>
    <cacheHierarchy uniqueName="[Measures].[Count of Address]" caption="Count of Address" measure="1" displayFolder="" measureGroup="Combined" count="0" hidden="1">
      <extLst>
        <ext xmlns:x15="http://schemas.microsoft.com/office/spreadsheetml/2010/11/main" uri="{B97F6D7D-B522-45F9-BDA1-12C45D357490}">
          <x15:cacheHierarchy aggregatedColumn="1"/>
        </ext>
      </extLst>
    </cacheHierarchy>
    <cacheHierarchy uniqueName="[Measures].[Sum of PriceClean]" caption="Sum of PriceClean" measure="1" displayFolder="" measureGroup="Combined" count="0" hidden="1">
      <extLst>
        <ext xmlns:x15="http://schemas.microsoft.com/office/spreadsheetml/2010/11/main" uri="{B97F6D7D-B522-45F9-BDA1-12C45D357490}">
          <x15:cacheHierarchy aggregatedColumn="15"/>
        </ext>
      </extLst>
    </cacheHierarchy>
    <cacheHierarchy uniqueName="[Measures].[Count of PriceClean]" caption="Count of PriceClean" measure="1" displayFolder="" measureGroup="Combined"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Bedroom]" caption="Count of Bedroom" measure="1" displayFolder="" measureGroup="Combined" count="0" hidden="1">
      <extLst>
        <ext xmlns:x15="http://schemas.microsoft.com/office/spreadsheetml/2010/11/main" uri="{B97F6D7D-B522-45F9-BDA1-12C45D357490}">
          <x15:cacheHierarchy aggregatedColumn="7"/>
        </ext>
      </extLst>
    </cacheHierarchy>
  </cacheHierarchies>
  <kpis count="0"/>
  <dimensions count="2">
    <dimension name="Combined" uniqueName="[Combined]" caption="Combined"/>
    <dimension measure="1" name="Measures" uniqueName="[Measures]" caption="Measures"/>
  </dimensions>
  <measureGroups count="1">
    <measureGroup name="Combined" caption="Combi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zul Pradhan" refreshedDate="45892.981377777774" backgroundQuery="1" createdVersion="8" refreshedVersion="8" minRefreshableVersion="3" recordCount="0" supportSubquery="1" supportAdvancedDrill="1" xr:uid="{F9C624F2-2A6E-41AE-B693-D348386189B2}">
  <cacheSource type="external" connectionId="4"/>
  <cacheFields count="6">
    <cacheField name="[Combined].[PriceRange].[PriceRange]" caption="PriceRange" numFmtId="0" hierarchy="16" level="1">
      <sharedItems count="7">
        <s v="0.5M - 1M"/>
        <s v="1.5M - 2M"/>
        <s v="1M - 1.5M"/>
        <s v="2.5M - 3M"/>
        <s v="2M - 2.5M"/>
        <s v="3.5M - 4M"/>
        <s v="3M - 3.5M"/>
      </sharedItems>
    </cacheField>
    <cacheField name="[Measures].[Count of PriceClean]" caption="Count of PriceClean" numFmtId="0" hierarchy="22" level="32767"/>
    <cacheField name="[Combined].[Bedroom].[Bedroom]" caption="Bedroom" numFmtId="0" hierarchy="7" level="1">
      <sharedItems count="10">
        <s v="1"/>
        <s v="2"/>
        <s v="3"/>
        <s v="4"/>
        <s v="5"/>
        <s v="6"/>
        <s v="7"/>
        <s v="9"/>
        <s v="20"/>
        <s v="0"/>
      </sharedItems>
    </cacheField>
    <cacheField name="[Combined].[Bathroom].[Bathroom]" caption="Bathroom" numFmtId="0" hierarchy="8" level="1">
      <sharedItems count="8">
        <s v="0"/>
        <s v="1"/>
        <s v="2"/>
        <s v="20"/>
        <s v="21"/>
        <s v="3"/>
        <s v="4"/>
        <s v="5"/>
      </sharedItems>
    </cacheField>
    <cacheField name="[Combined].[Parking].[Parking]" caption="Parking" numFmtId="0" hierarchy="10" level="1">
      <sharedItems containsSemiMixedTypes="0" containsNonDate="0" containsString="0"/>
    </cacheField>
    <cacheField name="[Combined].[Type].[Type]" caption="Type" numFmtId="0" hierarchy="4" level="1">
      <sharedItems count="7">
        <s v="Apartment"/>
        <s v="Duplex"/>
        <s v="House"/>
        <s v="Land"/>
        <s v="Other"/>
        <s v="Townhouse"/>
        <s v="Villa"/>
      </sharedItems>
    </cacheField>
  </cacheFields>
  <cacheHierarchies count="24">
    <cacheHierarchy uniqueName="[Combined].[Price]" caption="Price" attribute="1" defaultMemberUniqueName="[Combined].[Price].[All]" allUniqueName="[Combined].[Price].[All]" dimensionUniqueName="[Combined]" displayFolder="" count="0" memberValueDatatype="130" unbalanced="0"/>
    <cacheHierarchy uniqueName="[Combined].[Address]" caption="Address" attribute="1" defaultMemberUniqueName="[Combined].[Address].[All]" allUniqueName="[Combined].[Address].[All]" dimensionUniqueName="[Combined]" displayFolder="" count="0" memberValueDatatype="130" unbalanced="0"/>
    <cacheHierarchy uniqueName="[Combined].[Suburb]" caption="Suburb" attribute="1" defaultMemberUniqueName="[Combined].[Suburb].[All]" allUniqueName="[Combined].[Suburb].[All]" dimensionUniqueName="[Combined]" displayFolder="" count="2" memberValueDatatype="130" unbalanced="0"/>
    <cacheHierarchy uniqueName="[Combined].[PostalCode]" caption="PostalCode" attribute="1" defaultMemberUniqueName="[Combined].[PostalCode].[All]" allUniqueName="[Combined].[PostalCode].[All]" dimensionUniqueName="[Combined]" displayFolder="" count="0" memberValueDatatype="20" unbalanced="0"/>
    <cacheHierarchy uniqueName="[Combined].[Type]" caption="Type" attribute="1" defaultMemberUniqueName="[Combined].[Type].[All]" allUniqueName="[Combined].[Type].[All]" dimensionUniqueName="[Combined]" displayFolder="" count="2" memberValueDatatype="130" unbalanced="0">
      <fieldsUsage count="2">
        <fieldUsage x="-1"/>
        <fieldUsage x="5"/>
      </fieldsUsage>
    </cacheHierarchy>
    <cacheHierarchy uniqueName="[Combined].[Agency]" caption="Agency" attribute="1" defaultMemberUniqueName="[Combined].[Agency].[All]" allUniqueName="[Combined].[Agency].[All]" dimensionUniqueName="[Combined]" displayFolder="" count="0" memberValueDatatype="130" unbalanced="0"/>
    <cacheHierarchy uniqueName="[Combined].[Condition]" caption="Condition" attribute="1" defaultMemberUniqueName="[Combined].[Condition].[All]" allUniqueName="[Combined].[Condition].[All]" dimensionUniqueName="[Combined]" displayFolder="" count="0" memberValueDatatype="130" unbalanced="0"/>
    <cacheHierarchy uniqueName="[Combined].[Bedroom]" caption="Bedroom" attribute="1" defaultMemberUniqueName="[Combined].[Bedroom].[All]" allUniqueName="[Combined].[Bedroom].[All]" dimensionUniqueName="[Combined]" displayFolder="" count="2" memberValueDatatype="130" unbalanced="0">
      <fieldsUsage count="2">
        <fieldUsage x="-1"/>
        <fieldUsage x="2"/>
      </fieldsUsage>
    </cacheHierarchy>
    <cacheHierarchy uniqueName="[Combined].[Bathroom]" caption="Bathroom" attribute="1" defaultMemberUniqueName="[Combined].[Bathroom].[All]" allUniqueName="[Combined].[Bathroom].[All]" dimensionUniqueName="[Combined]" displayFolder="" count="2" memberValueDatatype="130" unbalanced="0">
      <fieldsUsage count="2">
        <fieldUsage x="-1"/>
        <fieldUsage x="3"/>
      </fieldsUsage>
    </cacheHierarchy>
    <cacheHierarchy uniqueName="[Combined].[State]" caption="State" attribute="1" defaultMemberUniqueName="[Combined].[State].[All]" allUniqueName="[Combined].[State].[All]" dimensionUniqueName="[Combined]" displayFolder="" count="0" memberValueDatatype="130" unbalanced="0"/>
    <cacheHierarchy uniqueName="[Combined].[Parking]" caption="Parking" attribute="1" defaultMemberUniqueName="[Combined].[Parking].[All]" allUniqueName="[Combined].[Parking].[All]" dimensionUniqueName="[Combined]" displayFolder="" count="2" memberValueDatatype="130" unbalanced="0">
      <fieldsUsage count="2">
        <fieldUsage x="-1"/>
        <fieldUsage x="4"/>
      </fieldsUsage>
    </cacheHierarchy>
    <cacheHierarchy uniqueName="[Combined].[Agent]" caption="Agent" attribute="1" defaultMemberUniqueName="[Combined].[Agent].[All]" allUniqueName="[Combined].[Agent].[All]" dimensionUniqueName="[Combined]" displayFolder="" count="0" memberValueDatatype="130" unbalanced="0"/>
    <cacheHierarchy uniqueName="[Combined].[Pictures]" caption="Pictures" attribute="1" defaultMemberUniqueName="[Combined].[Pictures].[All]" allUniqueName="[Combined].[Pictures].[All]" dimensionUniqueName="[Combined]" displayFolder="" count="0" memberValueDatatype="20" unbalanced="0"/>
    <cacheHierarchy uniqueName="[Combined].[ListingDate]" caption="ListingDate" attribute="1" defaultMemberUniqueName="[Combined].[ListingDate].[All]" allUniqueName="[Combined].[ListingDate].[All]" dimensionUniqueName="[Combined]" displayFolder="" count="0" memberValueDatatype="130" unbalanced="0"/>
    <cacheHierarchy uniqueName="[Combined].[OpenHouse]" caption="OpenHouse" attribute="1" defaultMemberUniqueName="[Combined].[OpenHouse].[All]" allUniqueName="[Combined].[OpenHouse].[All]" dimensionUniqueName="[Combined]" displayFolder="" count="0" memberValueDatatype="130" unbalanced="0"/>
    <cacheHierarchy uniqueName="[Combined].[PriceClean]" caption="PriceClean" attribute="1" defaultMemberUniqueName="[Combined].[PriceClean].[All]" allUniqueName="[Combined].[PriceClean].[All]" dimensionUniqueName="[Combined]" displayFolder="" count="0" memberValueDatatype="20" unbalanced="0"/>
    <cacheHierarchy uniqueName="[Combined].[PriceRange]" caption="PriceRange" attribute="1" defaultMemberUniqueName="[Combined].[PriceRange].[All]" allUniqueName="[Combined].[PriceRange].[All]" dimensionUniqueName="[Combined]" displayFolder="" count="2" memberValueDatatype="130" unbalanced="0">
      <fieldsUsage count="2">
        <fieldUsage x="-1"/>
        <fieldUsage x="0"/>
      </fieldsUsage>
    </cacheHierarchy>
    <cacheHierarchy uniqueName="[Measures].[__XL_Count Combined]" caption="__XL_Count Combined" measure="1" displayFolder="" measureGroup="Combined" count="0" hidden="1"/>
    <cacheHierarchy uniqueName="[Measures].[__No measures defined]" caption="__No measures defined" measure="1" displayFolder="" count="0" hidden="1"/>
    <cacheHierarchy uniqueName="[Measures].[Average of PriceClean]" caption="Average of PriceClean" measure="1" displayFolder="" measureGroup="Combined" count="0" hidden="1">
      <extLst>
        <ext xmlns:x15="http://schemas.microsoft.com/office/spreadsheetml/2010/11/main" uri="{B97F6D7D-B522-45F9-BDA1-12C45D357490}">
          <x15:cacheHierarchy aggregatedColumn="15"/>
        </ext>
      </extLst>
    </cacheHierarchy>
    <cacheHierarchy uniqueName="[Measures].[Count of Address]" caption="Count of Address" measure="1" displayFolder="" measureGroup="Combined" count="0" hidden="1">
      <extLst>
        <ext xmlns:x15="http://schemas.microsoft.com/office/spreadsheetml/2010/11/main" uri="{B97F6D7D-B522-45F9-BDA1-12C45D357490}">
          <x15:cacheHierarchy aggregatedColumn="1"/>
        </ext>
      </extLst>
    </cacheHierarchy>
    <cacheHierarchy uniqueName="[Measures].[Sum of PriceClean]" caption="Sum of PriceClean" measure="1" displayFolder="" measureGroup="Combined" count="0" hidden="1">
      <extLst>
        <ext xmlns:x15="http://schemas.microsoft.com/office/spreadsheetml/2010/11/main" uri="{B97F6D7D-B522-45F9-BDA1-12C45D357490}">
          <x15:cacheHierarchy aggregatedColumn="15"/>
        </ext>
      </extLst>
    </cacheHierarchy>
    <cacheHierarchy uniqueName="[Measures].[Count of PriceClean]" caption="Count of PriceClean" measure="1" displayFolder="" measureGroup="Combined"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Bedroom]" caption="Count of Bedroom" measure="1" displayFolder="" measureGroup="Combined" count="0" hidden="1">
      <extLst>
        <ext xmlns:x15="http://schemas.microsoft.com/office/spreadsheetml/2010/11/main" uri="{B97F6D7D-B522-45F9-BDA1-12C45D357490}">
          <x15:cacheHierarchy aggregatedColumn="7"/>
        </ext>
      </extLst>
    </cacheHierarchy>
  </cacheHierarchies>
  <kpis count="0"/>
  <dimensions count="2">
    <dimension name="Combined" uniqueName="[Combined]" caption="Combined"/>
    <dimension measure="1" name="Measures" uniqueName="[Measures]" caption="Measures"/>
  </dimensions>
  <measureGroups count="1">
    <measureGroup name="Combined" caption="Combi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zul Pradhan" refreshedDate="45892.953759374999" backgroundQuery="1" createdVersion="3" refreshedVersion="8" minRefreshableVersion="3" recordCount="0" supportSubquery="1" supportAdvancedDrill="1" xr:uid="{211465FE-A364-4A53-9553-647B8B5691B3}">
  <cacheSource type="external" connectionId="4">
    <extLst>
      <ext xmlns:x14="http://schemas.microsoft.com/office/spreadsheetml/2009/9/main" uri="{F057638F-6D5F-4e77-A914-E7F072B9BCA8}">
        <x14:sourceConnection name="ThisWorkbookDataModel"/>
      </ext>
    </extLst>
  </cacheSource>
  <cacheFields count="0"/>
  <cacheHierarchies count="24">
    <cacheHierarchy uniqueName="[Combined].[Price]" caption="Price" attribute="1" defaultMemberUniqueName="[Combined].[Price].[All]" allUniqueName="[Combined].[Price].[All]" dimensionUniqueName="[Combined]" displayFolder="" count="0" memberValueDatatype="130" unbalanced="0"/>
    <cacheHierarchy uniqueName="[Combined].[Address]" caption="Address" attribute="1" defaultMemberUniqueName="[Combined].[Address].[All]" allUniqueName="[Combined].[Address].[All]" dimensionUniqueName="[Combined]" displayFolder="" count="0" memberValueDatatype="130" unbalanced="0"/>
    <cacheHierarchy uniqueName="[Combined].[Suburb]" caption="Suburb" attribute="1" defaultMemberUniqueName="[Combined].[Suburb].[All]" allUniqueName="[Combined].[Suburb].[All]" dimensionUniqueName="[Combined]" displayFolder="" count="2" memberValueDatatype="130" unbalanced="0"/>
    <cacheHierarchy uniqueName="[Combined].[PostalCode]" caption="PostalCode" attribute="1" defaultMemberUniqueName="[Combined].[PostalCode].[All]" allUniqueName="[Combined].[PostalCode].[All]" dimensionUniqueName="[Combined]" displayFolder="" count="0" memberValueDatatype="20" unbalanced="0"/>
    <cacheHierarchy uniqueName="[Combined].[Type]" caption="Type" attribute="1" defaultMemberUniqueName="[Combined].[Type].[All]" allUniqueName="[Combined].[Type].[All]" dimensionUniqueName="[Combined]" displayFolder="" count="2" memberValueDatatype="130" unbalanced="0"/>
    <cacheHierarchy uniqueName="[Combined].[Agency]" caption="Agency" attribute="1" defaultMemberUniqueName="[Combined].[Agency].[All]" allUniqueName="[Combined].[Agency].[All]" dimensionUniqueName="[Combined]" displayFolder="" count="0" memberValueDatatype="130" unbalanced="0"/>
    <cacheHierarchy uniqueName="[Combined].[Condition]" caption="Condition" attribute="1" defaultMemberUniqueName="[Combined].[Condition].[All]" allUniqueName="[Combined].[Condition].[All]" dimensionUniqueName="[Combined]" displayFolder="" count="0" memberValueDatatype="130" unbalanced="0"/>
    <cacheHierarchy uniqueName="[Combined].[Bedroom]" caption="Bedroom" attribute="1" defaultMemberUniqueName="[Combined].[Bedroom].[All]" allUniqueName="[Combined].[Bedroom].[All]" dimensionUniqueName="[Combined]" displayFolder="" count="0" memberValueDatatype="130" unbalanced="0"/>
    <cacheHierarchy uniqueName="[Combined].[Bathroom]" caption="Bathroom" attribute="1" defaultMemberUniqueName="[Combined].[Bathroom].[All]" allUniqueName="[Combined].[Bathroom].[All]" dimensionUniqueName="[Combined]" displayFolder="" count="0" memberValueDatatype="130" unbalanced="0"/>
    <cacheHierarchy uniqueName="[Combined].[State]" caption="State" attribute="1" defaultMemberUniqueName="[Combined].[State].[All]" allUniqueName="[Combined].[State].[All]" dimensionUniqueName="[Combined]" displayFolder="" count="0" memberValueDatatype="130" unbalanced="0"/>
    <cacheHierarchy uniqueName="[Combined].[Parking]" caption="Parking" attribute="1" defaultMemberUniqueName="[Combined].[Parking].[All]" allUniqueName="[Combined].[Parking].[All]" dimensionUniqueName="[Combined]" displayFolder="" count="0" memberValueDatatype="130" unbalanced="0"/>
    <cacheHierarchy uniqueName="[Combined].[Agent]" caption="Agent" attribute="1" defaultMemberUniqueName="[Combined].[Agent].[All]" allUniqueName="[Combined].[Agent].[All]" dimensionUniqueName="[Combined]" displayFolder="" count="0" memberValueDatatype="130" unbalanced="0"/>
    <cacheHierarchy uniqueName="[Combined].[Pictures]" caption="Pictures" attribute="1" defaultMemberUniqueName="[Combined].[Pictures].[All]" allUniqueName="[Combined].[Pictures].[All]" dimensionUniqueName="[Combined]" displayFolder="" count="0" memberValueDatatype="20" unbalanced="0"/>
    <cacheHierarchy uniqueName="[Combined].[ListingDate]" caption="ListingDate" attribute="1" defaultMemberUniqueName="[Combined].[ListingDate].[All]" allUniqueName="[Combined].[ListingDate].[All]" dimensionUniqueName="[Combined]" displayFolder="" count="0" memberValueDatatype="130" unbalanced="0"/>
    <cacheHierarchy uniqueName="[Combined].[OpenHouse]" caption="OpenHouse" attribute="1" defaultMemberUniqueName="[Combined].[OpenHouse].[All]" allUniqueName="[Combined].[OpenHouse].[All]" dimensionUniqueName="[Combined]" displayFolder="" count="0" memberValueDatatype="130" unbalanced="0"/>
    <cacheHierarchy uniqueName="[Combined].[PriceClean]" caption="PriceClean" attribute="1" defaultMemberUniqueName="[Combined].[PriceClean].[All]" allUniqueName="[Combined].[PriceClean].[All]" dimensionUniqueName="[Combined]" displayFolder="" count="0" memberValueDatatype="20" unbalanced="0"/>
    <cacheHierarchy uniqueName="[Combined].[PriceRange]" caption="PriceRange" attribute="1" defaultMemberUniqueName="[Combined].[PriceRange].[All]" allUniqueName="[Combined].[PriceRange].[All]" dimensionUniqueName="[Combined]" displayFolder="" count="0" memberValueDatatype="130" unbalanced="0"/>
    <cacheHierarchy uniqueName="[Measures].[__XL_Count Combined]" caption="__XL_Count Combined" measure="1" displayFolder="" measureGroup="Combined" count="0" hidden="1"/>
    <cacheHierarchy uniqueName="[Measures].[__No measures defined]" caption="__No measures defined" measure="1" displayFolder="" count="0" hidden="1"/>
    <cacheHierarchy uniqueName="[Measures].[Average of PriceClean]" caption="Average of PriceClean" measure="1" displayFolder="" measureGroup="Combined" count="0" hidden="1">
      <extLst>
        <ext xmlns:x15="http://schemas.microsoft.com/office/spreadsheetml/2010/11/main" uri="{B97F6D7D-B522-45F9-BDA1-12C45D357490}">
          <x15:cacheHierarchy aggregatedColumn="15"/>
        </ext>
      </extLst>
    </cacheHierarchy>
    <cacheHierarchy uniqueName="[Measures].[Count of Address]" caption="Count of Address" measure="1" displayFolder="" measureGroup="Combined" count="0" hidden="1">
      <extLst>
        <ext xmlns:x15="http://schemas.microsoft.com/office/spreadsheetml/2010/11/main" uri="{B97F6D7D-B522-45F9-BDA1-12C45D357490}">
          <x15:cacheHierarchy aggregatedColumn="1"/>
        </ext>
      </extLst>
    </cacheHierarchy>
    <cacheHierarchy uniqueName="[Measures].[Sum of PriceClean]" caption="Sum of PriceClean" measure="1" displayFolder="" measureGroup="Combined" count="0" hidden="1">
      <extLst>
        <ext xmlns:x15="http://schemas.microsoft.com/office/spreadsheetml/2010/11/main" uri="{B97F6D7D-B522-45F9-BDA1-12C45D357490}">
          <x15:cacheHierarchy aggregatedColumn="15"/>
        </ext>
      </extLst>
    </cacheHierarchy>
    <cacheHierarchy uniqueName="[Measures].[Count of PriceClean]" caption="Count of PriceClean" measure="1" displayFolder="" measureGroup="Combined" count="0" hidden="1">
      <extLst>
        <ext xmlns:x15="http://schemas.microsoft.com/office/spreadsheetml/2010/11/main" uri="{B97F6D7D-B522-45F9-BDA1-12C45D357490}">
          <x15:cacheHierarchy aggregatedColumn="15"/>
        </ext>
      </extLst>
    </cacheHierarchy>
    <cacheHierarchy uniqueName="[Measures].[Count of Bedroom]" caption="Count of Bedroom" measure="1" displayFolder="" measureGroup="Combined"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20205500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s v="for sale - $1,050,000"/>
    <x v="0"/>
    <x v="0"/>
    <n v="2223"/>
    <x v="0"/>
    <x v="0"/>
    <x v="0"/>
    <x v="0"/>
    <x v="0"/>
    <x v="0"/>
    <n v="1"/>
    <x v="0"/>
    <n v="12"/>
    <s v="unavailable"/>
    <x v="0"/>
    <x v="0"/>
  </r>
  <r>
    <s v="$1,080,000"/>
    <x v="1"/>
    <x v="1"/>
    <n v="2161"/>
    <x v="1"/>
    <x v="1"/>
    <x v="1"/>
    <x v="1"/>
    <x v="0"/>
    <x v="0"/>
    <n v="2"/>
    <x v="1"/>
    <n v="10"/>
    <s v="unavailable"/>
    <x v="0"/>
    <x v="1"/>
  </r>
  <r>
    <s v="For Sale - Price Guide - $1,080,000-$1,130,000"/>
    <x v="2"/>
    <x v="1"/>
    <n v="2161"/>
    <x v="1"/>
    <x v="2"/>
    <x v="0"/>
    <x v="1"/>
    <x v="0"/>
    <x v="0"/>
    <n v="2"/>
    <x v="2"/>
    <n v="12"/>
    <s v="unavailable"/>
    <x v="0"/>
    <x v="1"/>
  </r>
  <r>
    <s v="$1,090,000 to $1,199,000"/>
    <x v="3"/>
    <x v="2"/>
    <n v="2220"/>
    <x v="2"/>
    <x v="3"/>
    <x v="0"/>
    <x v="0"/>
    <x v="0"/>
    <x v="0"/>
    <n v="2"/>
    <x v="3"/>
    <n v="13"/>
    <s v="unavailable"/>
    <x v="0"/>
    <x v="2"/>
  </r>
  <r>
    <s v="$1.09m to $1.15m"/>
    <x v="4"/>
    <x v="3"/>
    <n v="2209"/>
    <x v="3"/>
    <x v="4"/>
    <x v="0"/>
    <x v="0"/>
    <x v="0"/>
    <x v="0"/>
    <n v="1"/>
    <x v="4"/>
    <n v="11"/>
    <s v="unavailable"/>
    <x v="0"/>
    <x v="2"/>
  </r>
  <r>
    <s v="$1,125,000"/>
    <x v="5"/>
    <x v="2"/>
    <n v="2220"/>
    <x v="2"/>
    <x v="5"/>
    <x v="0"/>
    <x v="2"/>
    <x v="0"/>
    <x v="0"/>
    <n v="2"/>
    <x v="5"/>
    <n v="10"/>
    <s v="unavailable"/>
    <x v="0"/>
    <x v="3"/>
  </r>
  <r>
    <s v="$1,125,000"/>
    <x v="5"/>
    <x v="2"/>
    <n v="2220"/>
    <x v="2"/>
    <x v="6"/>
    <x v="0"/>
    <x v="2"/>
    <x v="0"/>
    <x v="0"/>
    <n v="2"/>
    <x v="6"/>
    <n v="10"/>
    <s v="unavailable"/>
    <x v="0"/>
    <x v="3"/>
  </r>
  <r>
    <s v="Buyers Guide $1,150,000"/>
    <x v="6"/>
    <x v="4"/>
    <n v="2115"/>
    <x v="3"/>
    <x v="7"/>
    <x v="2"/>
    <x v="0"/>
    <x v="0"/>
    <x v="0"/>
    <n v="1"/>
    <x v="7"/>
    <n v="9"/>
    <s v="unavailable"/>
    <x v="0"/>
    <x v="4"/>
  </r>
  <r>
    <s v="$1,165,000"/>
    <x v="7"/>
    <x v="5"/>
    <n v="2150"/>
    <x v="2"/>
    <x v="8"/>
    <x v="2"/>
    <x v="0"/>
    <x v="0"/>
    <x v="0"/>
    <n v="1"/>
    <x v="8"/>
    <n v="6"/>
    <s v="unavailable"/>
    <x v="0"/>
    <x v="5"/>
  </r>
  <r>
    <s v="Guide | $1,195,000"/>
    <x v="8"/>
    <x v="6"/>
    <n v="2121"/>
    <x v="2"/>
    <x v="9"/>
    <x v="0"/>
    <x v="0"/>
    <x v="0"/>
    <x v="0"/>
    <n v="2"/>
    <x v="9"/>
    <n v="13"/>
    <s v="Sun 24 Aug, 10:00 AM"/>
    <x v="1"/>
    <x v="6"/>
  </r>
  <r>
    <s v="Guide $1,200,000"/>
    <x v="9"/>
    <x v="7"/>
    <n v="2152"/>
    <x v="3"/>
    <x v="10"/>
    <x v="0"/>
    <x v="0"/>
    <x v="0"/>
    <x v="0"/>
    <n v="2"/>
    <x v="10"/>
    <n v="28"/>
    <s v="unavailable"/>
    <x v="0"/>
    <x v="7"/>
  </r>
  <r>
    <s v="2 bedroom from $1,200,000"/>
    <x v="10"/>
    <x v="6"/>
    <n v="2121"/>
    <x v="2"/>
    <x v="11"/>
    <x v="0"/>
    <x v="2"/>
    <x v="0"/>
    <x v="0"/>
    <n v="2"/>
    <x v="11"/>
    <n v="34"/>
    <s v="unavailable"/>
    <x v="0"/>
    <x v="7"/>
  </r>
  <r>
    <s v="Price Guide $1,200,000"/>
    <x v="11"/>
    <x v="6"/>
    <n v="2121"/>
    <x v="2"/>
    <x v="12"/>
    <x v="0"/>
    <x v="2"/>
    <x v="0"/>
    <x v="0"/>
    <n v="1"/>
    <x v="12"/>
    <n v="13"/>
    <s v="unavailable"/>
    <x v="0"/>
    <x v="7"/>
  </r>
  <r>
    <s v="$1,200,000"/>
    <x v="12"/>
    <x v="1"/>
    <n v="2161"/>
    <x v="1"/>
    <x v="1"/>
    <x v="0"/>
    <x v="3"/>
    <x v="1"/>
    <x v="0"/>
    <n v="2"/>
    <x v="13"/>
    <n v="9"/>
    <s v="unavailable"/>
    <x v="0"/>
    <x v="7"/>
  </r>
  <r>
    <s v="for sale $1,299,000"/>
    <x v="13"/>
    <x v="8"/>
    <n v="2222"/>
    <x v="1"/>
    <x v="13"/>
    <x v="0"/>
    <x v="0"/>
    <x v="2"/>
    <x v="0"/>
    <n v="15"/>
    <x v="14"/>
    <n v="6"/>
    <s v="unavailable"/>
    <x v="0"/>
    <x v="8"/>
  </r>
  <r>
    <s v="for sale | $1,380,000"/>
    <x v="14"/>
    <x v="9"/>
    <n v="2210"/>
    <x v="1"/>
    <x v="0"/>
    <x v="0"/>
    <x v="4"/>
    <x v="2"/>
    <x v="0"/>
    <n v="0"/>
    <x v="15"/>
    <n v="6"/>
    <s v="unavailable"/>
    <x v="0"/>
    <x v="9"/>
  </r>
  <r>
    <s v="$1,390,000"/>
    <x v="15"/>
    <x v="10"/>
    <n v="2151"/>
    <x v="3"/>
    <x v="10"/>
    <x v="0"/>
    <x v="0"/>
    <x v="1"/>
    <x v="0"/>
    <n v="2"/>
    <x v="16"/>
    <n v="20"/>
    <s v="unavailable"/>
    <x v="0"/>
    <x v="10"/>
  </r>
  <r>
    <s v="For sale - $1,395,000"/>
    <x v="16"/>
    <x v="5"/>
    <n v="2150"/>
    <x v="3"/>
    <x v="14"/>
    <x v="0"/>
    <x v="0"/>
    <x v="1"/>
    <x v="0"/>
    <n v="1"/>
    <x v="17"/>
    <n v="14"/>
    <s v="unavailable"/>
    <x v="0"/>
    <x v="11"/>
  </r>
  <r>
    <s v="Guide $1,395,000"/>
    <x v="17"/>
    <x v="1"/>
    <n v="2161"/>
    <x v="1"/>
    <x v="10"/>
    <x v="0"/>
    <x v="0"/>
    <x v="2"/>
    <x v="0"/>
    <n v="1"/>
    <x v="18"/>
    <n v="21"/>
    <s v="unavailable"/>
    <x v="0"/>
    <x v="11"/>
  </r>
  <r>
    <s v="for sale $1,400,000 - $1,500,000"/>
    <x v="18"/>
    <x v="9"/>
    <n v="2210"/>
    <x v="1"/>
    <x v="15"/>
    <x v="0"/>
    <x v="0"/>
    <x v="1"/>
    <x v="0"/>
    <n v="2"/>
    <x v="19"/>
    <n v="11"/>
    <s v="unavailable"/>
    <x v="0"/>
    <x v="12"/>
  </r>
  <r>
    <s v="FOR SALE | $1,400,000-$1,500,000"/>
    <x v="19"/>
    <x v="11"/>
    <n v="2142"/>
    <x v="1"/>
    <x v="16"/>
    <x v="0"/>
    <x v="3"/>
    <x v="3"/>
    <x v="0"/>
    <n v="2"/>
    <x v="20"/>
    <n v="8"/>
    <s v="unavailable"/>
    <x v="0"/>
    <x v="12"/>
  </r>
  <r>
    <s v="$1,435,000"/>
    <x v="20"/>
    <x v="2"/>
    <n v="2220"/>
    <x v="2"/>
    <x v="5"/>
    <x v="0"/>
    <x v="0"/>
    <x v="0"/>
    <x v="0"/>
    <n v="2"/>
    <x v="5"/>
    <n v="13"/>
    <s v="unavailable"/>
    <x v="0"/>
    <x v="13"/>
  </r>
  <r>
    <s v="$1,435,000"/>
    <x v="20"/>
    <x v="2"/>
    <n v="2220"/>
    <x v="2"/>
    <x v="6"/>
    <x v="0"/>
    <x v="0"/>
    <x v="0"/>
    <x v="0"/>
    <n v="2"/>
    <x v="21"/>
    <n v="13"/>
    <s v="unavailable"/>
    <x v="0"/>
    <x v="13"/>
  </r>
  <r>
    <s v="$1,470,000"/>
    <x v="21"/>
    <x v="8"/>
    <n v="2222"/>
    <x v="3"/>
    <x v="17"/>
    <x v="0"/>
    <x v="3"/>
    <x v="1"/>
    <x v="0"/>
    <n v="2"/>
    <x v="22"/>
    <n v="15"/>
    <s v="unavailable"/>
    <x v="0"/>
    <x v="14"/>
  </r>
  <r>
    <s v="Guide $1,490,000"/>
    <x v="22"/>
    <x v="12"/>
    <n v="2146"/>
    <x v="1"/>
    <x v="18"/>
    <x v="0"/>
    <x v="0"/>
    <x v="2"/>
    <x v="0"/>
    <n v="3"/>
    <x v="23"/>
    <n v="7"/>
    <s v="unavailable"/>
    <x v="0"/>
    <x v="15"/>
  </r>
  <r>
    <s v="$1,495,000"/>
    <x v="23"/>
    <x v="12"/>
    <n v="2146"/>
    <x v="1"/>
    <x v="1"/>
    <x v="0"/>
    <x v="1"/>
    <x v="1"/>
    <x v="0"/>
    <n v="2"/>
    <x v="1"/>
    <n v="9"/>
    <s v="unavailable"/>
    <x v="0"/>
    <x v="16"/>
  </r>
  <r>
    <s v="$1,500,000"/>
    <x v="24"/>
    <x v="1"/>
    <n v="2161"/>
    <x v="1"/>
    <x v="1"/>
    <x v="0"/>
    <x v="1"/>
    <x v="1"/>
    <x v="0"/>
    <n v="2"/>
    <x v="24"/>
    <n v="10"/>
    <s v="unavailable"/>
    <x v="0"/>
    <x v="17"/>
  </r>
  <r>
    <s v="$1,500,000"/>
    <x v="25"/>
    <x v="1"/>
    <n v="2161"/>
    <x v="1"/>
    <x v="19"/>
    <x v="0"/>
    <x v="1"/>
    <x v="1"/>
    <x v="0"/>
    <n v="4"/>
    <x v="25"/>
    <n v="12"/>
    <s v="unavailable"/>
    <x v="0"/>
    <x v="17"/>
  </r>
  <r>
    <s v="price guide: $1,500,000"/>
    <x v="26"/>
    <x v="2"/>
    <n v="2220"/>
    <x v="2"/>
    <x v="13"/>
    <x v="0"/>
    <x v="0"/>
    <x v="1"/>
    <x v="0"/>
    <n v="2"/>
    <x v="26"/>
    <n v="15"/>
    <s v="unavailable"/>
    <x v="0"/>
    <x v="17"/>
  </r>
  <r>
    <s v="Price guide $1,550,000"/>
    <x v="27"/>
    <x v="13"/>
    <n v="2117"/>
    <x v="1"/>
    <x v="20"/>
    <x v="0"/>
    <x v="2"/>
    <x v="2"/>
    <x v="0"/>
    <n v="2"/>
    <x v="27"/>
    <n v="5"/>
    <s v="unavailable"/>
    <x v="0"/>
    <x v="18"/>
  </r>
  <r>
    <s v="offers $1,550,000 to $1,650,000"/>
    <x v="28"/>
    <x v="8"/>
    <n v="2222"/>
    <x v="1"/>
    <x v="0"/>
    <x v="0"/>
    <x v="1"/>
    <x v="0"/>
    <x v="0"/>
    <n v="2"/>
    <x v="28"/>
    <n v="9"/>
    <s v="unavailable"/>
    <x v="0"/>
    <x v="18"/>
  </r>
  <r>
    <s v="$1,600,000 to $1,700,000"/>
    <x v="29"/>
    <x v="14"/>
    <n v="2142"/>
    <x v="1"/>
    <x v="21"/>
    <x v="0"/>
    <x v="0"/>
    <x v="2"/>
    <x v="0"/>
    <n v="1"/>
    <x v="29"/>
    <n v="6"/>
    <s v="unavailable"/>
    <x v="0"/>
    <x v="19"/>
  </r>
  <r>
    <s v="3 bedroom from $1,600,000"/>
    <x v="10"/>
    <x v="6"/>
    <n v="2121"/>
    <x v="2"/>
    <x v="11"/>
    <x v="0"/>
    <x v="0"/>
    <x v="1"/>
    <x v="0"/>
    <n v="2"/>
    <x v="11"/>
    <n v="35"/>
    <s v="unavailable"/>
    <x v="0"/>
    <x v="19"/>
  </r>
  <r>
    <s v="$1,600,000 to $1,650,000"/>
    <x v="30"/>
    <x v="7"/>
    <n v="2152"/>
    <x v="1"/>
    <x v="22"/>
    <x v="0"/>
    <x v="1"/>
    <x v="1"/>
    <x v="0"/>
    <n v="2"/>
    <x v="30"/>
    <n v="30"/>
    <s v="unavailable"/>
    <x v="0"/>
    <x v="19"/>
  </r>
  <r>
    <s v="$1,650,000 - $1,700,000"/>
    <x v="31"/>
    <x v="1"/>
    <n v="2161"/>
    <x v="1"/>
    <x v="23"/>
    <x v="0"/>
    <x v="5"/>
    <x v="3"/>
    <x v="0"/>
    <n v="3"/>
    <x v="31"/>
    <n v="14"/>
    <s v="unavailable"/>
    <x v="0"/>
    <x v="20"/>
  </r>
  <r>
    <s v="For Sale: $1,650,000"/>
    <x v="32"/>
    <x v="1"/>
    <n v="2161"/>
    <x v="1"/>
    <x v="1"/>
    <x v="0"/>
    <x v="6"/>
    <x v="3"/>
    <x v="0"/>
    <n v="3"/>
    <x v="32"/>
    <n v="9"/>
    <s v="unavailable"/>
    <x v="0"/>
    <x v="20"/>
  </r>
  <r>
    <s v="$1,750,000-$1,850,000"/>
    <x v="33"/>
    <x v="15"/>
    <n v="2117"/>
    <x v="1"/>
    <x v="24"/>
    <x v="0"/>
    <x v="0"/>
    <x v="0"/>
    <x v="0"/>
    <n v="3"/>
    <x v="33"/>
    <n v="18"/>
    <s v="unavailable"/>
    <x v="0"/>
    <x v="21"/>
  </r>
  <r>
    <s v="$1.75M - $1.85M"/>
    <x v="34"/>
    <x v="16"/>
    <n v="2117"/>
    <x v="1"/>
    <x v="25"/>
    <x v="0"/>
    <x v="0"/>
    <x v="2"/>
    <x v="0"/>
    <n v="2"/>
    <x v="34"/>
    <n v="20"/>
    <s v="Sat 30 Aug, 1:45 PM"/>
    <x v="1"/>
    <x v="21"/>
  </r>
  <r>
    <s v="For Sale: $1,768,000"/>
    <x v="35"/>
    <x v="11"/>
    <n v="2142"/>
    <x v="1"/>
    <x v="1"/>
    <x v="0"/>
    <x v="6"/>
    <x v="1"/>
    <x v="0"/>
    <n v="4"/>
    <x v="35"/>
    <n v="12"/>
    <s v="unavailable"/>
    <x v="0"/>
    <x v="22"/>
  </r>
  <r>
    <s v="$1,800,000-$1,850,000"/>
    <x v="36"/>
    <x v="11"/>
    <n v="2142"/>
    <x v="1"/>
    <x v="26"/>
    <x v="0"/>
    <x v="6"/>
    <x v="4"/>
    <x v="0"/>
    <n v="2"/>
    <x v="36"/>
    <n v="21"/>
    <s v="unavailable"/>
    <x v="0"/>
    <x v="23"/>
  </r>
  <r>
    <s v="for sale $1,800,000"/>
    <x v="37"/>
    <x v="2"/>
    <n v="2220"/>
    <x v="1"/>
    <x v="27"/>
    <x v="0"/>
    <x v="3"/>
    <x v="0"/>
    <x v="0"/>
    <n v="2"/>
    <x v="37"/>
    <n v="0"/>
    <s v="unavailable"/>
    <x v="0"/>
    <x v="23"/>
  </r>
  <r>
    <s v="for sale $1,800,000"/>
    <x v="37"/>
    <x v="2"/>
    <n v="2220"/>
    <x v="4"/>
    <x v="28"/>
    <x v="0"/>
    <x v="3"/>
    <x v="1"/>
    <x v="0"/>
    <n v="2"/>
    <x v="37"/>
    <n v="10"/>
    <s v="unavailable"/>
    <x v="0"/>
    <x v="23"/>
  </r>
  <r>
    <s v="Buyer's Guide: $1,800,000"/>
    <x v="38"/>
    <x v="10"/>
    <n v="2151"/>
    <x v="1"/>
    <x v="29"/>
    <x v="0"/>
    <x v="1"/>
    <x v="0"/>
    <x v="0"/>
    <n v="3"/>
    <x v="38"/>
    <n v="14"/>
    <s v="unavailable"/>
    <x v="0"/>
    <x v="23"/>
  </r>
  <r>
    <s v="$1,820,000 - $1,870,000"/>
    <x v="39"/>
    <x v="7"/>
    <n v="2152"/>
    <x v="1"/>
    <x v="30"/>
    <x v="0"/>
    <x v="3"/>
    <x v="1"/>
    <x v="0"/>
    <n v="1"/>
    <x v="39"/>
    <n v="11"/>
    <s v="unavailable"/>
    <x v="0"/>
    <x v="24"/>
  </r>
  <r>
    <s v="Price Guide | $1,825,000 - $1,875,000"/>
    <x v="40"/>
    <x v="1"/>
    <n v="2161"/>
    <x v="1"/>
    <x v="31"/>
    <x v="1"/>
    <x v="5"/>
    <x v="3"/>
    <x v="0"/>
    <n v="2"/>
    <x v="40"/>
    <n v="21"/>
    <s v="unavailable"/>
    <x v="0"/>
    <x v="25"/>
  </r>
  <r>
    <s v="offers welcome - guide $1,850,000"/>
    <x v="41"/>
    <x v="8"/>
    <n v="2222"/>
    <x v="1"/>
    <x v="32"/>
    <x v="0"/>
    <x v="0"/>
    <x v="2"/>
    <x v="0"/>
    <n v="2"/>
    <x v="41"/>
    <n v="13"/>
    <s v="unavailable"/>
    <x v="0"/>
    <x v="26"/>
  </r>
  <r>
    <s v="price guide $1,900,000 to $2,000,000"/>
    <x v="42"/>
    <x v="17"/>
    <n v="2210"/>
    <x v="1"/>
    <x v="33"/>
    <x v="0"/>
    <x v="3"/>
    <x v="0"/>
    <x v="0"/>
    <n v="2"/>
    <x v="42"/>
    <n v="11"/>
    <s v="unavailable"/>
    <x v="0"/>
    <x v="27"/>
  </r>
  <r>
    <s v="Buyer guide $1,900,000"/>
    <x v="43"/>
    <x v="4"/>
    <n v="2115"/>
    <x v="1"/>
    <x v="34"/>
    <x v="0"/>
    <x v="3"/>
    <x v="1"/>
    <x v="0"/>
    <n v="2"/>
    <x v="43"/>
    <n v="19"/>
    <s v="unavailable"/>
    <x v="0"/>
    <x v="27"/>
  </r>
  <r>
    <s v="$1,900,000 to $2,000,000"/>
    <x v="10"/>
    <x v="17"/>
    <n v="2210"/>
    <x v="1"/>
    <x v="35"/>
    <x v="0"/>
    <x v="1"/>
    <x v="4"/>
    <x v="0"/>
    <n v="3"/>
    <x v="44"/>
    <n v="13"/>
    <s v="unavailable"/>
    <x v="0"/>
    <x v="27"/>
  </r>
  <r>
    <s v="For Sale: $1,900,000 - $2,090,000"/>
    <x v="44"/>
    <x v="1"/>
    <n v="2161"/>
    <x v="1"/>
    <x v="1"/>
    <x v="0"/>
    <x v="5"/>
    <x v="1"/>
    <x v="0"/>
    <n v="4"/>
    <x v="45"/>
    <n v="20"/>
    <s v="unavailable"/>
    <x v="0"/>
    <x v="27"/>
  </r>
  <r>
    <s v="Price Guide $1,900,000 - $1,950,000"/>
    <x v="45"/>
    <x v="4"/>
    <n v="2115"/>
    <x v="1"/>
    <x v="1"/>
    <x v="0"/>
    <x v="3"/>
    <x v="0"/>
    <x v="0"/>
    <n v="4"/>
    <x v="13"/>
    <n v="13"/>
    <s v="unavailable"/>
    <x v="0"/>
    <x v="27"/>
  </r>
  <r>
    <s v="for sale - by offers. buyers guide $1,950,000"/>
    <x v="46"/>
    <x v="9"/>
    <n v="2210"/>
    <x v="1"/>
    <x v="32"/>
    <x v="0"/>
    <x v="4"/>
    <x v="2"/>
    <x v="0"/>
    <n v="0"/>
    <x v="46"/>
    <n v="13"/>
    <s v="unavailable"/>
    <x v="0"/>
    <x v="28"/>
  </r>
  <r>
    <s v="Price Guide $1,950,000 - $2,145,000"/>
    <x v="47"/>
    <x v="1"/>
    <n v="2161"/>
    <x v="1"/>
    <x v="36"/>
    <x v="0"/>
    <x v="7"/>
    <x v="3"/>
    <x v="0"/>
    <n v="2"/>
    <x v="47"/>
    <n v="28"/>
    <s v="Sat 23 Aug, 4:00 PM"/>
    <x v="1"/>
    <x v="28"/>
  </r>
  <r>
    <s v="For Sale - $1,950,000"/>
    <x v="48"/>
    <x v="1"/>
    <n v="2161"/>
    <x v="1"/>
    <x v="37"/>
    <x v="0"/>
    <x v="6"/>
    <x v="1"/>
    <x v="0"/>
    <n v="2"/>
    <x v="48"/>
    <n v="11"/>
    <s v="unavailable"/>
    <x v="0"/>
    <x v="28"/>
  </r>
  <r>
    <s v="Price Guide $2,000,000 - $2,150,000"/>
    <x v="49"/>
    <x v="1"/>
    <n v="2161"/>
    <x v="1"/>
    <x v="36"/>
    <x v="0"/>
    <x v="1"/>
    <x v="1"/>
    <x v="0"/>
    <n v="2"/>
    <x v="49"/>
    <n v="31"/>
    <s v="unavailable"/>
    <x v="0"/>
    <x v="29"/>
  </r>
  <r>
    <s v="$2,000,000 - $2,500,000"/>
    <x v="50"/>
    <x v="11"/>
    <n v="2142"/>
    <x v="5"/>
    <x v="1"/>
    <x v="0"/>
    <x v="8"/>
    <x v="5"/>
    <x v="0"/>
    <n v="0"/>
    <x v="50"/>
    <n v="4"/>
    <s v="unavailable"/>
    <x v="0"/>
    <x v="29"/>
  </r>
  <r>
    <s v="$2,075,000 - $2,175,000"/>
    <x v="51"/>
    <x v="18"/>
    <n v="2223"/>
    <x v="1"/>
    <x v="38"/>
    <x v="0"/>
    <x v="3"/>
    <x v="0"/>
    <x v="0"/>
    <n v="2"/>
    <x v="51"/>
    <n v="13"/>
    <s v="unavailable"/>
    <x v="0"/>
    <x v="30"/>
  </r>
  <r>
    <s v="$2,100,000"/>
    <x v="52"/>
    <x v="5"/>
    <n v="2150"/>
    <x v="1"/>
    <x v="39"/>
    <x v="0"/>
    <x v="0"/>
    <x v="0"/>
    <x v="0"/>
    <n v="2"/>
    <x v="52"/>
    <n v="0"/>
    <s v="unavailable"/>
    <x v="0"/>
    <x v="31"/>
  </r>
  <r>
    <s v="for sale $2,150,000 - $2,350,000"/>
    <x v="53"/>
    <x v="2"/>
    <n v="2220"/>
    <x v="1"/>
    <x v="38"/>
    <x v="0"/>
    <x v="3"/>
    <x v="1"/>
    <x v="0"/>
    <n v="1"/>
    <x v="53"/>
    <n v="18"/>
    <s v="unavailable"/>
    <x v="0"/>
    <x v="32"/>
  </r>
  <r>
    <s v="$2,200,000 - $2,250,000"/>
    <x v="54"/>
    <x v="1"/>
    <n v="2161"/>
    <x v="1"/>
    <x v="1"/>
    <x v="0"/>
    <x v="1"/>
    <x v="4"/>
    <x v="0"/>
    <n v="4"/>
    <x v="54"/>
    <n v="14"/>
    <s v="unavailable"/>
    <x v="0"/>
    <x v="33"/>
  </r>
  <r>
    <s v="for sale - $2,290,000"/>
    <x v="55"/>
    <x v="9"/>
    <n v="2210"/>
    <x v="1"/>
    <x v="40"/>
    <x v="0"/>
    <x v="3"/>
    <x v="1"/>
    <x v="0"/>
    <n v="6"/>
    <x v="55"/>
    <n v="18"/>
    <s v="unavailable"/>
    <x v="0"/>
    <x v="34"/>
  </r>
  <r>
    <s v="$2,300,000 - $2,500,000"/>
    <x v="56"/>
    <x v="16"/>
    <n v="2117"/>
    <x v="1"/>
    <x v="41"/>
    <x v="0"/>
    <x v="3"/>
    <x v="1"/>
    <x v="0"/>
    <n v="2"/>
    <x v="56"/>
    <n v="25"/>
    <s v="unavailable"/>
    <x v="0"/>
    <x v="35"/>
  </r>
  <r>
    <s v="for sale - $2,350,000 - $2,450,000"/>
    <x v="57"/>
    <x v="19"/>
    <n v="2208"/>
    <x v="1"/>
    <x v="42"/>
    <x v="0"/>
    <x v="1"/>
    <x v="1"/>
    <x v="0"/>
    <n v="2"/>
    <x v="57"/>
    <n v="20"/>
    <s v="unavailable"/>
    <x v="0"/>
    <x v="36"/>
  </r>
  <r>
    <s v="$2,500,000"/>
    <x v="58"/>
    <x v="20"/>
    <n v="2150"/>
    <x v="1"/>
    <x v="37"/>
    <x v="0"/>
    <x v="3"/>
    <x v="0"/>
    <x v="0"/>
    <n v="3"/>
    <x v="58"/>
    <n v="14"/>
    <s v="unavailable"/>
    <x v="0"/>
    <x v="37"/>
  </r>
  <r>
    <s v="$2,650,000"/>
    <x v="59"/>
    <x v="5"/>
    <n v="2150"/>
    <x v="6"/>
    <x v="43"/>
    <x v="0"/>
    <x v="9"/>
    <x v="6"/>
    <x v="0"/>
    <n v="2"/>
    <x v="59"/>
    <n v="26"/>
    <s v="unavailable"/>
    <x v="0"/>
    <x v="38"/>
  </r>
  <r>
    <s v="$2,650,000"/>
    <x v="59"/>
    <x v="5"/>
    <n v="2150"/>
    <x v="2"/>
    <x v="43"/>
    <x v="0"/>
    <x v="9"/>
    <x v="7"/>
    <x v="0"/>
    <n v="2"/>
    <x v="59"/>
    <n v="27"/>
    <s v="unavailable"/>
    <x v="0"/>
    <x v="38"/>
  </r>
  <r>
    <s v="Guide $2,850,000"/>
    <x v="60"/>
    <x v="7"/>
    <n v="2152"/>
    <x v="1"/>
    <x v="44"/>
    <x v="0"/>
    <x v="3"/>
    <x v="2"/>
    <x v="0"/>
    <n v="2"/>
    <x v="60"/>
    <n v="15"/>
    <s v="unavailable"/>
    <x v="0"/>
    <x v="39"/>
  </r>
  <r>
    <s v="2,880,000"/>
    <x v="61"/>
    <x v="6"/>
    <n v="2121"/>
    <x v="1"/>
    <x v="45"/>
    <x v="0"/>
    <x v="2"/>
    <x v="2"/>
    <x v="0"/>
    <n v="4"/>
    <x v="61"/>
    <n v="14"/>
    <s v="unavailable"/>
    <x v="0"/>
    <x v="40"/>
  </r>
  <r>
    <s v="For sale - $2,995,000"/>
    <x v="62"/>
    <x v="6"/>
    <n v="2121"/>
    <x v="1"/>
    <x v="46"/>
    <x v="0"/>
    <x v="3"/>
    <x v="0"/>
    <x v="0"/>
    <n v="2"/>
    <x v="62"/>
    <n v="15"/>
    <s v="Wed 27 Aug, 11:30 AM"/>
    <x v="1"/>
    <x v="41"/>
  </r>
  <r>
    <s v="$3,400,000 - $3,500,000"/>
    <x v="63"/>
    <x v="2"/>
    <n v="2220"/>
    <x v="1"/>
    <x v="47"/>
    <x v="0"/>
    <x v="6"/>
    <x v="3"/>
    <x v="0"/>
    <n v="2"/>
    <x v="63"/>
    <n v="15"/>
    <s v="unavailable"/>
    <x v="0"/>
    <x v="42"/>
  </r>
  <r>
    <s v="$3,600,000"/>
    <x v="64"/>
    <x v="20"/>
    <n v="2150"/>
    <x v="1"/>
    <x v="37"/>
    <x v="0"/>
    <x v="6"/>
    <x v="3"/>
    <x v="0"/>
    <n v="6"/>
    <x v="58"/>
    <n v="18"/>
    <s v="unavailable"/>
    <x v="0"/>
    <x v="43"/>
  </r>
  <r>
    <s v="must be sold: $595,000 - $650,000"/>
    <x v="65"/>
    <x v="19"/>
    <n v="2208"/>
    <x v="2"/>
    <x v="48"/>
    <x v="0"/>
    <x v="2"/>
    <x v="0"/>
    <x v="0"/>
    <n v="1"/>
    <x v="64"/>
    <n v="12"/>
    <s v="unavailable"/>
    <x v="0"/>
    <x v="44"/>
  </r>
  <r>
    <s v="for sale $599,000"/>
    <x v="66"/>
    <x v="2"/>
    <n v="2220"/>
    <x v="2"/>
    <x v="47"/>
    <x v="0"/>
    <x v="4"/>
    <x v="2"/>
    <x v="0"/>
    <n v="1"/>
    <x v="65"/>
    <n v="0"/>
    <s v="unavailable"/>
    <x v="0"/>
    <x v="45"/>
  </r>
  <r>
    <s v="$658,000"/>
    <x v="67"/>
    <x v="2"/>
    <n v="2220"/>
    <x v="2"/>
    <x v="49"/>
    <x v="0"/>
    <x v="4"/>
    <x v="2"/>
    <x v="0"/>
    <n v="1"/>
    <x v="66"/>
    <n v="14"/>
    <s v="unavailable"/>
    <x v="0"/>
    <x v="46"/>
  </r>
  <r>
    <s v="$659,000"/>
    <x v="68"/>
    <x v="2"/>
    <n v="2220"/>
    <x v="2"/>
    <x v="50"/>
    <x v="0"/>
    <x v="4"/>
    <x v="2"/>
    <x v="0"/>
    <n v="1"/>
    <x v="67"/>
    <n v="9"/>
    <s v="unavailable"/>
    <x v="0"/>
    <x v="47"/>
  </r>
  <r>
    <s v="$700,000 - $750,000"/>
    <x v="69"/>
    <x v="2"/>
    <n v="2220"/>
    <x v="2"/>
    <x v="28"/>
    <x v="0"/>
    <x v="2"/>
    <x v="0"/>
    <x v="0"/>
    <n v="1"/>
    <x v="68"/>
    <n v="5"/>
    <s v="unavailable"/>
    <x v="0"/>
    <x v="48"/>
  </r>
  <r>
    <s v="price guide $ 700k - $740k"/>
    <x v="70"/>
    <x v="2"/>
    <n v="2220"/>
    <x v="2"/>
    <x v="51"/>
    <x v="0"/>
    <x v="4"/>
    <x v="2"/>
    <x v="0"/>
    <n v="1"/>
    <x v="69"/>
    <n v="7"/>
    <s v="unavailable"/>
    <x v="0"/>
    <x v="48"/>
  </r>
  <r>
    <s v="price $710,000"/>
    <x v="71"/>
    <x v="2"/>
    <n v="2220"/>
    <x v="2"/>
    <x v="28"/>
    <x v="0"/>
    <x v="2"/>
    <x v="0"/>
    <x v="0"/>
    <n v="1"/>
    <x v="68"/>
    <n v="4"/>
    <s v="unavailable"/>
    <x v="0"/>
    <x v="49"/>
  </r>
  <r>
    <s v="$739,000"/>
    <x v="72"/>
    <x v="19"/>
    <n v="2208"/>
    <x v="2"/>
    <x v="52"/>
    <x v="0"/>
    <x v="2"/>
    <x v="0"/>
    <x v="0"/>
    <n v="1"/>
    <x v="70"/>
    <n v="9"/>
    <s v="unavailable"/>
    <x v="0"/>
    <x v="50"/>
  </r>
  <r>
    <s v="for sale $739,000"/>
    <x v="73"/>
    <x v="17"/>
    <n v="2210"/>
    <x v="2"/>
    <x v="53"/>
    <x v="0"/>
    <x v="2"/>
    <x v="0"/>
    <x v="0"/>
    <n v="1"/>
    <x v="71"/>
    <n v="8"/>
    <s v="unavailable"/>
    <x v="0"/>
    <x v="50"/>
  </r>
  <r>
    <s v="$739,500"/>
    <x v="74"/>
    <x v="19"/>
    <n v="2208"/>
    <x v="2"/>
    <x v="52"/>
    <x v="2"/>
    <x v="2"/>
    <x v="0"/>
    <x v="0"/>
    <n v="1"/>
    <x v="70"/>
    <n v="9"/>
    <s v="unavailable"/>
    <x v="0"/>
    <x v="51"/>
  </r>
  <r>
    <s v="$749,000"/>
    <x v="75"/>
    <x v="2"/>
    <n v="2220"/>
    <x v="2"/>
    <x v="47"/>
    <x v="0"/>
    <x v="2"/>
    <x v="0"/>
    <x v="0"/>
    <n v="1"/>
    <x v="72"/>
    <n v="10"/>
    <s v="unavailable"/>
    <x v="0"/>
    <x v="52"/>
  </r>
  <r>
    <s v="$780,000 - $820,000"/>
    <x v="76"/>
    <x v="17"/>
    <n v="2210"/>
    <x v="2"/>
    <x v="47"/>
    <x v="0"/>
    <x v="2"/>
    <x v="0"/>
    <x v="0"/>
    <n v="1"/>
    <x v="73"/>
    <n v="10"/>
    <s v="unavailable"/>
    <x v="0"/>
    <x v="53"/>
  </r>
  <r>
    <s v="for sale $790,000 - $860,000"/>
    <x v="77"/>
    <x v="2"/>
    <n v="2220"/>
    <x v="2"/>
    <x v="27"/>
    <x v="0"/>
    <x v="2"/>
    <x v="0"/>
    <x v="0"/>
    <n v="1"/>
    <x v="74"/>
    <n v="8"/>
    <s v="unavailable"/>
    <x v="0"/>
    <x v="54"/>
  </r>
  <r>
    <s v="sold - $790,000"/>
    <x v="78"/>
    <x v="2"/>
    <n v="2220"/>
    <x v="2"/>
    <x v="54"/>
    <x v="0"/>
    <x v="2"/>
    <x v="0"/>
    <x v="0"/>
    <n v="1"/>
    <x v="75"/>
    <n v="7"/>
    <s v="unavailable"/>
    <x v="0"/>
    <x v="54"/>
  </r>
  <r>
    <s v="for sale $790,000 - $860,000"/>
    <x v="77"/>
    <x v="2"/>
    <n v="2220"/>
    <x v="2"/>
    <x v="28"/>
    <x v="0"/>
    <x v="2"/>
    <x v="1"/>
    <x v="0"/>
    <n v="1"/>
    <x v="74"/>
    <n v="8"/>
    <s v="unavailable"/>
    <x v="0"/>
    <x v="54"/>
  </r>
  <r>
    <s v="$828,000"/>
    <x v="79"/>
    <x v="2"/>
    <n v="2220"/>
    <x v="2"/>
    <x v="55"/>
    <x v="0"/>
    <x v="2"/>
    <x v="0"/>
    <x v="0"/>
    <n v="1"/>
    <x v="76"/>
    <n v="8"/>
    <s v="unavailable"/>
    <x v="0"/>
    <x v="55"/>
  </r>
  <r>
    <s v="sold - $830,000"/>
    <x v="80"/>
    <x v="2"/>
    <n v="2220"/>
    <x v="2"/>
    <x v="54"/>
    <x v="0"/>
    <x v="2"/>
    <x v="0"/>
    <x v="0"/>
    <n v="1"/>
    <x v="75"/>
    <n v="10"/>
    <s v="unavailable"/>
    <x v="0"/>
    <x v="56"/>
  </r>
  <r>
    <s v="price guide $880,000"/>
    <x v="81"/>
    <x v="18"/>
    <n v="2223"/>
    <x v="2"/>
    <x v="33"/>
    <x v="0"/>
    <x v="2"/>
    <x v="0"/>
    <x v="0"/>
    <n v="1"/>
    <x v="77"/>
    <n v="19"/>
    <s v="unavailable"/>
    <x v="0"/>
    <x v="57"/>
  </r>
  <r>
    <s v="$895,000"/>
    <x v="82"/>
    <x v="2"/>
    <n v="2220"/>
    <x v="2"/>
    <x v="56"/>
    <x v="0"/>
    <x v="2"/>
    <x v="0"/>
    <x v="0"/>
    <n v="1"/>
    <x v="78"/>
    <n v="6"/>
    <s v="unavailable"/>
    <x v="0"/>
    <x v="58"/>
  </r>
  <r>
    <s v="$899000"/>
    <x v="83"/>
    <x v="2"/>
    <n v="2220"/>
    <x v="2"/>
    <x v="57"/>
    <x v="0"/>
    <x v="2"/>
    <x v="0"/>
    <x v="0"/>
    <n v="1"/>
    <x v="79"/>
    <n v="0"/>
    <s v="unavailable"/>
    <x v="0"/>
    <x v="59"/>
  </r>
  <r>
    <s v="for sale | $915,000"/>
    <x v="84"/>
    <x v="2"/>
    <n v="2220"/>
    <x v="2"/>
    <x v="58"/>
    <x v="0"/>
    <x v="2"/>
    <x v="0"/>
    <x v="0"/>
    <n v="1"/>
    <x v="80"/>
    <n v="31"/>
    <s v="unavailable"/>
    <x v="0"/>
    <x v="60"/>
  </r>
  <r>
    <s v="$919,950"/>
    <x v="85"/>
    <x v="18"/>
    <n v="2223"/>
    <x v="2"/>
    <x v="59"/>
    <x v="0"/>
    <x v="2"/>
    <x v="0"/>
    <x v="0"/>
    <n v="1"/>
    <x v="81"/>
    <n v="10"/>
    <s v="Mon 25 Aug, 5:00 PM"/>
    <x v="1"/>
    <x v="61"/>
  </r>
  <r>
    <s v="$920,000"/>
    <x v="86"/>
    <x v="2"/>
    <n v="2220"/>
    <x v="2"/>
    <x v="60"/>
    <x v="0"/>
    <x v="2"/>
    <x v="0"/>
    <x v="0"/>
    <n v="1"/>
    <x v="82"/>
    <n v="6"/>
    <s v="unavailable"/>
    <x v="0"/>
    <x v="62"/>
  </r>
  <r>
    <s v="$938,000"/>
    <x v="87"/>
    <x v="2"/>
    <n v="2220"/>
    <x v="2"/>
    <x v="49"/>
    <x v="0"/>
    <x v="2"/>
    <x v="0"/>
    <x v="0"/>
    <n v="1"/>
    <x v="66"/>
    <n v="16"/>
    <s v="unavailable"/>
    <x v="0"/>
    <x v="63"/>
  </r>
  <r>
    <s v="$950,000"/>
    <x v="88"/>
    <x v="2"/>
    <n v="2220"/>
    <x v="2"/>
    <x v="61"/>
    <x v="0"/>
    <x v="2"/>
    <x v="0"/>
    <x v="0"/>
    <n v="2"/>
    <x v="83"/>
    <n v="16"/>
    <s v="unavailable"/>
    <x v="0"/>
    <x v="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A3B911-EE76-4223-812A-A925E475F883}"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Count of PriceClean" fld="1"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Count of PriceClean"/>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alestate1 (version 1).xlsb!Combined">
        <x15:activeTabTopLevelEntity name="[Combi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16E49E-ED59-470D-AFAA-B513D75C72C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7:E79" firstHeaderRow="1" firstDataRow="2" firstDataCol="1"/>
  <pivotFields count="16">
    <pivotField showAll="0"/>
    <pivotField dataField="1" showAll="0"/>
    <pivotField axis="axisCol" showAll="0" measureFilter="1">
      <items count="22">
        <item x="3"/>
        <item x="15"/>
        <item x="13"/>
        <item x="6"/>
        <item x="4"/>
        <item x="11"/>
        <item x="1"/>
        <item x="20"/>
        <item x="2"/>
        <item x="19"/>
        <item x="9"/>
        <item x="18"/>
        <item x="10"/>
        <item x="7"/>
        <item x="16"/>
        <item x="0"/>
        <item x="12"/>
        <item x="5"/>
        <item x="17"/>
        <item x="8"/>
        <item x="14"/>
        <item t="default"/>
      </items>
    </pivotField>
    <pivotField showAll="0"/>
    <pivotField showAll="0"/>
    <pivotField axis="axisRow" showAll="0" measureFilter="1" sortType="descending">
      <items count="66">
        <item x="50"/>
        <item x="61"/>
        <item x="26"/>
        <item x="4"/>
        <item x="5"/>
        <item x="44"/>
        <item x="42"/>
        <item x="36"/>
        <item x="49"/>
        <item x="31"/>
        <item x="16"/>
        <item x="34"/>
        <item x="59"/>
        <item x="37"/>
        <item x="52"/>
        <item x="47"/>
        <item x="38"/>
        <item x="48"/>
        <item x="29"/>
        <item x="18"/>
        <item x="40"/>
        <item x="51"/>
        <item x="53"/>
        <item m="1" x="62"/>
        <item x="0"/>
        <item x="22"/>
        <item x="11"/>
        <item x="39"/>
        <item x="23"/>
        <item x="56"/>
        <item x="19"/>
        <item m="1" x="63"/>
        <item x="9"/>
        <item x="10"/>
        <item x="15"/>
        <item x="28"/>
        <item x="46"/>
        <item x="27"/>
        <item x="24"/>
        <item x="41"/>
        <item x="1"/>
        <item x="54"/>
        <item x="2"/>
        <item x="57"/>
        <item x="25"/>
        <item x="14"/>
        <item x="13"/>
        <item x="6"/>
        <item x="17"/>
        <item x="12"/>
        <item x="32"/>
        <item x="60"/>
        <item x="43"/>
        <item x="21"/>
        <item x="20"/>
        <item x="35"/>
        <item x="45"/>
        <item m="1" x="64"/>
        <item x="3"/>
        <item x="7"/>
        <item x="58"/>
        <item x="30"/>
        <item x="55"/>
        <item x="33"/>
        <item x="8"/>
        <item t="default"/>
      </items>
    </pivotField>
    <pivotField showAll="0"/>
    <pivotField showAll="0"/>
    <pivotField showAll="0"/>
    <pivotField showAll="0"/>
    <pivotField showAll="0"/>
    <pivotField showAll="0"/>
    <pivotField showAll="0"/>
    <pivotField showAll="0"/>
    <pivotField showAll="0"/>
    <pivotField showAll="0"/>
  </pivotFields>
  <rowFields count="1">
    <field x="5"/>
  </rowFields>
  <rowItems count="11">
    <i>
      <x v="4"/>
    </i>
    <i>
      <x v="7"/>
    </i>
    <i>
      <x v="8"/>
    </i>
    <i>
      <x v="15"/>
    </i>
    <i>
      <x v="26"/>
    </i>
    <i>
      <x v="35"/>
    </i>
    <i>
      <x v="37"/>
    </i>
    <i>
      <x v="40"/>
    </i>
    <i>
      <x v="41"/>
    </i>
    <i>
      <x v="47"/>
    </i>
    <i t="grand">
      <x/>
    </i>
  </rowItems>
  <colFields count="1">
    <field x="2"/>
  </colFields>
  <colItems count="4">
    <i>
      <x v="3"/>
    </i>
    <i>
      <x v="6"/>
    </i>
    <i>
      <x v="8"/>
    </i>
    <i t="grand">
      <x/>
    </i>
  </colItems>
  <dataFields count="1">
    <dataField name="Count of Address" fld="1" subtotal="count" baseField="0" baseItem="0"/>
  </dataFields>
  <chartFormats count="3">
    <chartFormat chart="9" format="0" series="1">
      <pivotArea type="data" outline="0" fieldPosition="0">
        <references count="2">
          <reference field="4294967294" count="1" selected="0">
            <x v="0"/>
          </reference>
          <reference field="2" count="1" selected="0">
            <x v="3"/>
          </reference>
        </references>
      </pivotArea>
    </chartFormat>
    <chartFormat chart="9" format="1" series="1">
      <pivotArea type="data" outline="0" fieldPosition="0">
        <references count="2">
          <reference field="4294967294" count="1" selected="0">
            <x v="0"/>
          </reference>
          <reference field="2" count="1" selected="0">
            <x v="6"/>
          </reference>
        </references>
      </pivotArea>
    </chartFormat>
    <chartFormat chart="9" format="2" series="1">
      <pivotArea type="data" outline="0" fieldPosition="0">
        <references count="2">
          <reference field="4294967294" count="1" selected="0">
            <x v="0"/>
          </reference>
          <reference field="2" count="1" selected="0">
            <x v="8"/>
          </reference>
        </references>
      </pivotArea>
    </chartFormat>
  </chartFormats>
  <pivotTableStyleInfo name="PivotStyleLight16" showRowHeaders="1" showColHeaders="1" showRowStripes="0" showColStripes="0" showLastColumn="1"/>
  <filters count="2">
    <filter fld="2" type="count" evalOrder="-1" id="6" iMeasureFld="0">
      <autoFilter ref="A1">
        <filterColumn colId="0">
          <top10 val="3" filterVal="3"/>
        </filterColumn>
      </autoFilter>
    </filter>
    <filter fld="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E15E5D-029B-4CB8-A97A-2C45EAF5634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16:C222" firstHeaderRow="0" firstDataRow="1" firstDataCol="1"/>
  <pivotFields count="16">
    <pivotField showAll="0"/>
    <pivotField showAll="0"/>
    <pivotField showAll="0" measureFilter="1" sortType="ascending">
      <items count="22">
        <item x="3"/>
        <item x="15"/>
        <item x="13"/>
        <item x="6"/>
        <item x="4"/>
        <item x="11"/>
        <item x="1"/>
        <item x="20"/>
        <item x="2"/>
        <item x="19"/>
        <item x="9"/>
        <item x="18"/>
        <item x="10"/>
        <item x="7"/>
        <item x="16"/>
        <item x="0"/>
        <item x="12"/>
        <item x="5"/>
        <item x="17"/>
        <item x="8"/>
        <item x="14"/>
        <item t="default"/>
      </items>
    </pivotField>
    <pivotField showAll="0"/>
    <pivotField showAll="0">
      <items count="8">
        <item x="2"/>
        <item x="4"/>
        <item x="1"/>
        <item x="5"/>
        <item x="6"/>
        <item x="3"/>
        <item x="0"/>
        <item t="default"/>
      </items>
    </pivotField>
    <pivotField axis="axisRow" showAll="0" measureFilter="1">
      <items count="66">
        <item x="8"/>
        <item x="33"/>
        <item x="55"/>
        <item x="30"/>
        <item x="58"/>
        <item x="7"/>
        <item x="3"/>
        <item m="1" x="64"/>
        <item x="45"/>
        <item x="35"/>
        <item x="20"/>
        <item x="21"/>
        <item x="43"/>
        <item x="60"/>
        <item x="32"/>
        <item x="12"/>
        <item x="17"/>
        <item x="6"/>
        <item x="13"/>
        <item x="14"/>
        <item x="25"/>
        <item x="57"/>
        <item x="2"/>
        <item x="54"/>
        <item x="1"/>
        <item x="41"/>
        <item x="24"/>
        <item x="27"/>
        <item x="46"/>
        <item x="28"/>
        <item x="15"/>
        <item x="10"/>
        <item x="9"/>
        <item m="1" x="63"/>
        <item x="19"/>
        <item x="56"/>
        <item x="23"/>
        <item x="39"/>
        <item x="11"/>
        <item x="22"/>
        <item x="0"/>
        <item m="1" x="62"/>
        <item x="53"/>
        <item x="51"/>
        <item x="40"/>
        <item x="18"/>
        <item x="29"/>
        <item x="48"/>
        <item x="38"/>
        <item x="47"/>
        <item x="52"/>
        <item x="37"/>
        <item x="59"/>
        <item x="34"/>
        <item x="16"/>
        <item x="31"/>
        <item x="49"/>
        <item x="36"/>
        <item x="42"/>
        <item x="44"/>
        <item x="5"/>
        <item x="4"/>
        <item x="26"/>
        <item x="61"/>
        <item x="50"/>
        <item t="default"/>
      </items>
    </pivotField>
    <pivotField showAll="0">
      <items count="4">
        <item x="0"/>
        <item x="2"/>
        <item x="1"/>
        <item t="default"/>
      </items>
    </pivotField>
    <pivotField showAll="0">
      <items count="11">
        <item x="8"/>
        <item x="4"/>
        <item x="2"/>
        <item x="0"/>
        <item x="3"/>
        <item x="1"/>
        <item x="6"/>
        <item x="5"/>
        <item x="7"/>
        <item x="9"/>
        <item t="default"/>
      </items>
    </pivotField>
    <pivotField showAll="0"/>
    <pivotField showAll="0"/>
    <pivotField showAll="0"/>
    <pivotField showAll="0"/>
    <pivotField showAll="0"/>
    <pivotField showAll="0"/>
    <pivotField showAll="0">
      <items count="3">
        <item x="0"/>
        <item x="1"/>
        <item t="default"/>
      </items>
    </pivotField>
    <pivotField dataField="1" numFmtId="164" showAll="0"/>
  </pivotFields>
  <rowFields count="1">
    <field x="5"/>
  </rowFields>
  <rowItems count="6">
    <i>
      <x v="8"/>
    </i>
    <i>
      <x v="12"/>
    </i>
    <i>
      <x v="28"/>
    </i>
    <i>
      <x v="51"/>
    </i>
    <i>
      <x v="59"/>
    </i>
    <i t="grand">
      <x/>
    </i>
  </rowItems>
  <colFields count="1">
    <field x="-2"/>
  </colFields>
  <colItems count="2">
    <i>
      <x/>
    </i>
    <i i="1">
      <x v="1"/>
    </i>
  </colItems>
  <dataFields count="2">
    <dataField name="Average of PriceClean" fld="15" subtotal="average" baseField="2" baseItem="0" numFmtId="164"/>
    <dataField name="Count of PriceClean" fld="15" subtotal="count" baseField="5" baseItem="0"/>
  </dataFields>
  <chartFormats count="6">
    <chartFormat chart="0" format="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2">
    <filter fld="2" type="count" evalOrder="-1" id="1" iMeasureFld="0">
      <autoFilter ref="A1">
        <filterColumn colId="0">
          <top10 val="5" filterVal="5"/>
        </filterColumn>
      </autoFilter>
    </filter>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CE289C-D585-4FB3-B69B-F744ED03D2A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67:E175" firstHeaderRow="0" firstDataRow="1" firstDataCol="1"/>
  <pivotFields count="16">
    <pivotField showAll="0"/>
    <pivotField dataField="1" showAll="0"/>
    <pivotField showAll="0">
      <items count="22">
        <item x="3"/>
        <item x="15"/>
        <item x="13"/>
        <item x="6"/>
        <item x="4"/>
        <item x="11"/>
        <item x="1"/>
        <item x="20"/>
        <item x="2"/>
        <item x="19"/>
        <item x="9"/>
        <item x="18"/>
        <item x="10"/>
        <item x="7"/>
        <item x="16"/>
        <item x="0"/>
        <item x="12"/>
        <item x="5"/>
        <item x="17"/>
        <item x="8"/>
        <item x="14"/>
        <item t="default"/>
      </items>
    </pivotField>
    <pivotField showAll="0"/>
    <pivotField axis="axisRow" showAll="0">
      <items count="8">
        <item x="2"/>
        <item x="4"/>
        <item x="1"/>
        <item x="5"/>
        <item x="6"/>
        <item x="3"/>
        <item x="0"/>
        <item t="default"/>
      </items>
    </pivotField>
    <pivotField showAll="0" measureFilter="1"/>
    <pivotField showAll="0"/>
    <pivotField dataField="1" showAll="0"/>
    <pivotField dataField="1" showAll="0"/>
    <pivotField showAll="0"/>
    <pivotField dataField="1" showAll="0"/>
    <pivotField showAll="0"/>
    <pivotField showAll="0"/>
    <pivotField showAll="0"/>
    <pivotField showAll="0"/>
    <pivotField showAll="0"/>
  </pivotFields>
  <rowFields count="1">
    <field x="4"/>
  </rowFields>
  <rowItems count="8">
    <i>
      <x/>
    </i>
    <i>
      <x v="1"/>
    </i>
    <i>
      <x v="2"/>
    </i>
    <i>
      <x v="3"/>
    </i>
    <i>
      <x v="4"/>
    </i>
    <i>
      <x v="5"/>
    </i>
    <i>
      <x v="6"/>
    </i>
    <i t="grand">
      <x/>
    </i>
  </rowItems>
  <colFields count="1">
    <field x="-2"/>
  </colFields>
  <colItems count="4">
    <i>
      <x/>
    </i>
    <i i="1">
      <x v="1"/>
    </i>
    <i i="2">
      <x v="2"/>
    </i>
    <i i="3">
      <x v="3"/>
    </i>
  </colItems>
  <dataFields count="4">
    <dataField name="Count of Address" fld="1" subtotal="count" baseField="0" baseItem="0"/>
    <dataField name="Sum of Parking" fld="10" baseField="0" baseItem="0"/>
    <dataField name="Sum of Bathroom" fld="8" baseField="0" baseItem="0"/>
    <dataField name="Sum of Bedroom" fld="7" baseField="0" baseItem="0"/>
  </dataFields>
  <pivotTableStyleInfo name="PivotStyleLight17" showRowHeaders="1" showColHeaders="1" showRowStripes="0" showColStripes="0" showLastColumn="1"/>
  <filters count="1">
    <filter fld="5" type="count" evalOrder="-1" id="14"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AFC2F5-CDCF-4A23-A7D7-BE60C6B7977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28:C232" firstHeaderRow="0" firstDataRow="1" firstDataCol="1"/>
  <pivotFields count="16">
    <pivotField showAll="0"/>
    <pivotField dataField="1" showAll="0">
      <items count="90">
        <item x="10"/>
        <item x="25"/>
        <item x="19"/>
        <item x="43"/>
        <item x="28"/>
        <item x="8"/>
        <item x="74"/>
        <item x="81"/>
        <item x="18"/>
        <item x="46"/>
        <item x="49"/>
        <item x="51"/>
        <item x="54"/>
        <item x="45"/>
        <item x="79"/>
        <item x="36"/>
        <item x="60"/>
        <item x="21"/>
        <item x="24"/>
        <item x="62"/>
        <item x="44"/>
        <item x="73"/>
        <item x="31"/>
        <item x="53"/>
        <item x="37"/>
        <item x="33"/>
        <item x="27"/>
        <item x="5"/>
        <item x="70"/>
        <item x="15"/>
        <item x="77"/>
        <item x="41"/>
        <item x="20"/>
        <item x="26"/>
        <item x="72"/>
        <item x="88"/>
        <item x="35"/>
        <item x="32"/>
        <item x="42"/>
        <item x="17"/>
        <item x="58"/>
        <item x="23"/>
        <item x="3"/>
        <item x="50"/>
        <item x="38"/>
        <item x="55"/>
        <item x="57"/>
        <item x="9"/>
        <item x="84"/>
        <item x="69"/>
        <item x="82"/>
        <item x="56"/>
        <item x="29"/>
        <item x="75"/>
        <item x="22"/>
        <item x="30"/>
        <item x="63"/>
        <item x="4"/>
        <item x="76"/>
        <item x="66"/>
        <item x="78"/>
        <item x="2"/>
        <item x="64"/>
        <item x="39"/>
        <item x="16"/>
        <item x="85"/>
        <item x="80"/>
        <item x="65"/>
        <item x="1"/>
        <item x="47"/>
        <item x="13"/>
        <item x="61"/>
        <item x="12"/>
        <item x="87"/>
        <item x="67"/>
        <item x="52"/>
        <item x="40"/>
        <item x="68"/>
        <item x="71"/>
        <item x="59"/>
        <item x="48"/>
        <item x="0"/>
        <item x="11"/>
        <item x="7"/>
        <item x="34"/>
        <item x="14"/>
        <item x="6"/>
        <item x="86"/>
        <item x="83"/>
        <item t="default"/>
      </items>
    </pivotField>
    <pivotField showAll="0" sortType="ascending">
      <items count="22">
        <item x="3"/>
        <item x="15"/>
        <item x="13"/>
        <item x="6"/>
        <item x="4"/>
        <item x="11"/>
        <item x="1"/>
        <item x="20"/>
        <item x="2"/>
        <item x="19"/>
        <item x="9"/>
        <item x="18"/>
        <item x="10"/>
        <item x="7"/>
        <item x="16"/>
        <item x="0"/>
        <item x="12"/>
        <item x="5"/>
        <item x="17"/>
        <item x="8"/>
        <item x="14"/>
        <item t="default"/>
      </items>
    </pivotField>
    <pivotField showAll="0"/>
    <pivotField showAll="0" countASubtotal="1">
      <items count="8">
        <item x="2"/>
        <item x="4"/>
        <item x="1"/>
        <item x="5"/>
        <item x="6"/>
        <item x="3"/>
        <item x="0"/>
        <item t="countA"/>
      </items>
    </pivotField>
    <pivotField showAll="0">
      <items count="66">
        <item x="8"/>
        <item x="33"/>
        <item x="55"/>
        <item x="30"/>
        <item x="58"/>
        <item x="7"/>
        <item x="3"/>
        <item m="1" x="64"/>
        <item x="45"/>
        <item x="35"/>
        <item x="20"/>
        <item x="21"/>
        <item x="43"/>
        <item x="60"/>
        <item x="32"/>
        <item x="12"/>
        <item x="17"/>
        <item x="6"/>
        <item x="13"/>
        <item x="14"/>
        <item x="25"/>
        <item x="57"/>
        <item x="2"/>
        <item x="54"/>
        <item x="1"/>
        <item x="41"/>
        <item x="24"/>
        <item x="27"/>
        <item x="46"/>
        <item x="28"/>
        <item x="15"/>
        <item x="10"/>
        <item x="9"/>
        <item m="1" x="63"/>
        <item x="19"/>
        <item x="56"/>
        <item x="23"/>
        <item x="39"/>
        <item x="11"/>
        <item x="22"/>
        <item x="0"/>
        <item m="1" x="62"/>
        <item x="53"/>
        <item x="51"/>
        <item x="40"/>
        <item x="18"/>
        <item x="29"/>
        <item x="48"/>
        <item x="38"/>
        <item x="47"/>
        <item x="52"/>
        <item x="37"/>
        <item x="59"/>
        <item x="34"/>
        <item x="16"/>
        <item x="31"/>
        <item x="49"/>
        <item x="36"/>
        <item x="42"/>
        <item x="44"/>
        <item x="5"/>
        <item x="4"/>
        <item x="26"/>
        <item x="61"/>
        <item x="50"/>
        <item t="default"/>
      </items>
    </pivotField>
    <pivotField showAll="0">
      <items count="4">
        <item x="0"/>
        <item x="2"/>
        <item x="1"/>
        <item t="default"/>
      </items>
    </pivotField>
    <pivotField showAll="0">
      <items count="11">
        <item x="8"/>
        <item x="4"/>
        <item x="2"/>
        <item x="0"/>
        <item x="3"/>
        <item x="1"/>
        <item x="6"/>
        <item x="5"/>
        <item x="7"/>
        <item x="9"/>
        <item t="default"/>
      </items>
    </pivotField>
    <pivotField showAll="0">
      <items count="9">
        <item x="5"/>
        <item x="2"/>
        <item x="0"/>
        <item x="1"/>
        <item x="3"/>
        <item x="4"/>
        <item x="7"/>
        <item x="6"/>
        <item t="default"/>
      </items>
    </pivotField>
    <pivotField showAll="0">
      <items count="2">
        <item x="0"/>
        <item t="default"/>
      </items>
    </pivotField>
    <pivotField showAll="0"/>
    <pivotField axis="axisRow" showAll="0" measureFilter="1">
      <items count="90">
        <item x="19"/>
        <item x="48"/>
        <item x="38"/>
        <item x="72"/>
        <item x="65"/>
        <item x="7"/>
        <item x="18"/>
        <item x="10"/>
        <item x="60"/>
        <item x="59"/>
        <item m="1" x="88"/>
        <item x="62"/>
        <item x="3"/>
        <item x="61"/>
        <item x="22"/>
        <item x="31"/>
        <item x="46"/>
        <item x="41"/>
        <item x="77"/>
        <item x="56"/>
        <item x="8"/>
        <item x="51"/>
        <item x="45"/>
        <item m="1" x="84"/>
        <item x="2"/>
        <item m="1" x="87"/>
        <item x="42"/>
        <item x="80"/>
        <item x="40"/>
        <item x="79"/>
        <item x="6"/>
        <item x="0"/>
        <item x="15"/>
        <item x="17"/>
        <item x="9"/>
        <item x="28"/>
        <item x="14"/>
        <item x="50"/>
        <item x="29"/>
        <item x="25"/>
        <item x="52"/>
        <item x="1"/>
        <item x="54"/>
        <item x="13"/>
        <item x="64"/>
        <item x="81"/>
        <item x="39"/>
        <item x="70"/>
        <item x="20"/>
        <item x="69"/>
        <item x="82"/>
        <item m="1" x="85"/>
        <item x="68"/>
        <item x="37"/>
        <item x="30"/>
        <item x="36"/>
        <item x="66"/>
        <item x="53"/>
        <item x="47"/>
        <item x="57"/>
        <item x="63"/>
        <item x="73"/>
        <item x="78"/>
        <item x="43"/>
        <item x="12"/>
        <item x="34"/>
        <item x="49"/>
        <item x="75"/>
        <item x="4"/>
        <item x="33"/>
        <item x="71"/>
        <item x="35"/>
        <item x="24"/>
        <item x="67"/>
        <item x="26"/>
        <item x="32"/>
        <item x="16"/>
        <item x="11"/>
        <item x="55"/>
        <item x="83"/>
        <item x="27"/>
        <item x="23"/>
        <item x="5"/>
        <item x="74"/>
        <item x="58"/>
        <item x="76"/>
        <item x="21"/>
        <item x="44"/>
        <item m="1" x="86"/>
        <item t="default"/>
      </items>
    </pivotField>
    <pivotField showAll="0"/>
    <pivotField showAll="0"/>
    <pivotField showAll="0">
      <items count="3">
        <item x="0"/>
        <item x="1"/>
        <item t="default"/>
      </items>
    </pivotField>
    <pivotField dataField="1" numFmtId="164" showAll="0">
      <items count="66">
        <item x="44"/>
        <item x="45"/>
        <item x="46"/>
        <item x="47"/>
        <item x="48"/>
        <item x="49"/>
        <item x="50"/>
        <item x="51"/>
        <item x="52"/>
        <item x="53"/>
        <item x="54"/>
        <item x="55"/>
        <item x="56"/>
        <item x="57"/>
        <item x="58"/>
        <item x="59"/>
        <item x="60"/>
        <item x="61"/>
        <item x="62"/>
        <item x="63"/>
        <item x="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count="1">
    <field x="11"/>
  </rowFields>
  <rowItems count="4">
    <i>
      <x v="11"/>
    </i>
    <i>
      <x v="60"/>
    </i>
    <i>
      <x v="84"/>
    </i>
    <i t="grand">
      <x/>
    </i>
  </rowItems>
  <colFields count="1">
    <field x="-2"/>
  </colFields>
  <colItems count="2">
    <i>
      <x/>
    </i>
    <i i="1">
      <x v="1"/>
    </i>
  </colItems>
  <dataFields count="2">
    <dataField name="Average of PriceClean" fld="15" subtotal="average" baseField="11" baseItem="0" numFmtId="164"/>
    <dataField name="Count of Address" fld="1" subtotal="count" baseField="0" baseItem="0"/>
  </dataFields>
  <chartFormats count="16">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11" count="1" selected="0">
            <x v="11"/>
          </reference>
        </references>
      </pivotArea>
    </chartFormat>
    <chartFormat chart="16" format="12">
      <pivotArea type="data" outline="0" fieldPosition="0">
        <references count="2">
          <reference field="4294967294" count="1" selected="0">
            <x v="0"/>
          </reference>
          <reference field="11" count="1" selected="0">
            <x v="60"/>
          </reference>
        </references>
      </pivotArea>
    </chartFormat>
    <chartFormat chart="16" format="13">
      <pivotArea type="data" outline="0" fieldPosition="0">
        <references count="2">
          <reference field="4294967294" count="1" selected="0">
            <x v="0"/>
          </reference>
          <reference field="11" count="1" selected="0">
            <x v="84"/>
          </reference>
        </references>
      </pivotArea>
    </chartFormat>
    <chartFormat chart="16" format="14" series="1">
      <pivotArea type="data" outline="0" fieldPosition="0">
        <references count="1">
          <reference field="4294967294" count="1" selected="0">
            <x v="1"/>
          </reference>
        </references>
      </pivotArea>
    </chartFormat>
    <chartFormat chart="16" format="15">
      <pivotArea type="data" outline="0" fieldPosition="0">
        <references count="2">
          <reference field="4294967294" count="1" selected="0">
            <x v="1"/>
          </reference>
          <reference field="11" count="1" selected="0">
            <x v="11"/>
          </reference>
        </references>
      </pivotArea>
    </chartFormat>
    <chartFormat chart="16" format="16">
      <pivotArea type="data" outline="0" fieldPosition="0">
        <references count="2">
          <reference field="4294967294" count="1" selected="0">
            <x v="1"/>
          </reference>
          <reference field="11" count="1" selected="0">
            <x v="60"/>
          </reference>
        </references>
      </pivotArea>
    </chartFormat>
    <chartFormat chart="16" format="17">
      <pivotArea type="data" outline="0" fieldPosition="0">
        <references count="2">
          <reference field="4294967294" count="1" selected="0">
            <x v="1"/>
          </reference>
          <reference field="11" count="1" selected="0">
            <x v="84"/>
          </reference>
        </references>
      </pivotArea>
    </chartFormat>
    <chartFormat chart="12" format="2">
      <pivotArea type="data" outline="0" fieldPosition="0">
        <references count="2">
          <reference field="4294967294" count="1" selected="0">
            <x v="0"/>
          </reference>
          <reference field="11" count="1" selected="0">
            <x v="11"/>
          </reference>
        </references>
      </pivotArea>
    </chartFormat>
    <chartFormat chart="12" format="3">
      <pivotArea type="data" outline="0" fieldPosition="0">
        <references count="2">
          <reference field="4294967294" count="1" selected="0">
            <x v="0"/>
          </reference>
          <reference field="11" count="1" selected="0">
            <x v="60"/>
          </reference>
        </references>
      </pivotArea>
    </chartFormat>
    <chartFormat chart="12" format="4">
      <pivotArea type="data" outline="0" fieldPosition="0">
        <references count="2">
          <reference field="4294967294" count="1" selected="0">
            <x v="0"/>
          </reference>
          <reference field="11" count="1" selected="0">
            <x v="84"/>
          </reference>
        </references>
      </pivotArea>
    </chartFormat>
    <chartFormat chart="12" format="5">
      <pivotArea type="data" outline="0" fieldPosition="0">
        <references count="2">
          <reference field="4294967294" count="1" selected="0">
            <x v="1"/>
          </reference>
          <reference field="11" count="1" selected="0">
            <x v="11"/>
          </reference>
        </references>
      </pivotArea>
    </chartFormat>
    <chartFormat chart="12" format="6">
      <pivotArea type="data" outline="0" fieldPosition="0">
        <references count="2">
          <reference field="4294967294" count="1" selected="0">
            <x v="1"/>
          </reference>
          <reference field="11" count="1" selected="0">
            <x v="60"/>
          </reference>
        </references>
      </pivotArea>
    </chartFormat>
    <chartFormat chart="12" format="7">
      <pivotArea type="data" outline="0" fieldPosition="0">
        <references count="2">
          <reference field="4294967294" count="1" selected="0">
            <x v="1"/>
          </reference>
          <reference field="11" count="1" selected="0">
            <x v="84"/>
          </reference>
        </references>
      </pivotArea>
    </chartFormat>
  </chartFormats>
  <pivotTableStyleInfo name="PivotStyleLight16" showRowHeaders="1" showColHeaders="1" showRowStripes="0" showColStripes="0" showLastColumn="1"/>
  <filters count="1">
    <filter fld="11"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ACC587-F785-4D04-8C5C-E3383F5CADD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56:E164" firstHeaderRow="0" firstDataRow="1" firstDataCol="1"/>
  <pivotFields count="16">
    <pivotField showAll="0"/>
    <pivotField dataField="1" showAll="0"/>
    <pivotField showAll="0">
      <items count="22">
        <item x="3"/>
        <item x="15"/>
        <item x="13"/>
        <item x="6"/>
        <item x="4"/>
        <item x="11"/>
        <item x="1"/>
        <item x="20"/>
        <item x="2"/>
        <item x="19"/>
        <item x="9"/>
        <item x="18"/>
        <item x="10"/>
        <item x="7"/>
        <item x="16"/>
        <item x="0"/>
        <item x="12"/>
        <item x="5"/>
        <item x="17"/>
        <item x="8"/>
        <item x="14"/>
        <item t="default"/>
      </items>
    </pivotField>
    <pivotField showAll="0"/>
    <pivotField axis="axisRow" showAll="0">
      <items count="8">
        <item x="2"/>
        <item x="4"/>
        <item x="1"/>
        <item x="5"/>
        <item x="6"/>
        <item x="3"/>
        <item x="0"/>
        <item t="default"/>
      </items>
    </pivotField>
    <pivotField showAll="0" measureFilter="1"/>
    <pivotField showAll="0"/>
    <pivotField dataField="1" showAll="0"/>
    <pivotField dataField="1" showAll="0"/>
    <pivotField showAll="0"/>
    <pivotField dataField="1" showAll="0"/>
    <pivotField showAll="0"/>
    <pivotField showAll="0"/>
    <pivotField showAll="0"/>
    <pivotField showAll="0"/>
    <pivotField showAll="0"/>
  </pivotFields>
  <rowFields count="1">
    <field x="4"/>
  </rowFields>
  <rowItems count="8">
    <i>
      <x/>
    </i>
    <i>
      <x v="1"/>
    </i>
    <i>
      <x v="2"/>
    </i>
    <i>
      <x v="3"/>
    </i>
    <i>
      <x v="4"/>
    </i>
    <i>
      <x v="5"/>
    </i>
    <i>
      <x v="6"/>
    </i>
    <i t="grand">
      <x/>
    </i>
  </rowItems>
  <colFields count="1">
    <field x="-2"/>
  </colFields>
  <colItems count="4">
    <i>
      <x/>
    </i>
    <i i="1">
      <x v="1"/>
    </i>
    <i i="2">
      <x v="2"/>
    </i>
    <i i="3">
      <x v="3"/>
    </i>
  </colItems>
  <dataFields count="4">
    <dataField name="Count of Address" fld="1" subtotal="count" baseField="0" baseItem="0"/>
    <dataField name="Sum of Parking" fld="10" baseField="0" baseItem="0"/>
    <dataField name="Sum of Bathroom" fld="8" baseField="0" baseItem="0"/>
    <dataField name="Sum of Bedroom" fld="7" baseField="0" baseItem="0"/>
  </dataFields>
  <pivotTableStyleInfo name="PivotStyleLight17" showRowHeaders="1" showColHeaders="1" showRowStripes="0" showColStripes="0" showLastColumn="1"/>
  <filters count="1">
    <filter fld="5" type="count" evalOrder="-1" id="14"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E8C4B6-A07E-4CD5-AA70-290AD84FDDE9}"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8:B246" firstHeaderRow="1" firstDataRow="1" firstDataCol="1" rowPageCount="4" colPageCount="1"/>
  <pivotFields count="6">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Page" allDrilled="1" subtotalTop="0" showAll="0" dataSourceSort="1" defaultSubtotal="0" defaultAttributeDrillState="1">
      <items count="10">
        <item x="0"/>
        <item x="1"/>
        <item x="2"/>
        <item x="3"/>
        <item x="4"/>
        <item x="5"/>
        <item x="6"/>
        <item x="7"/>
        <item x="8"/>
        <item x="9"/>
      </items>
    </pivotField>
    <pivotField axis="axisPage" allDrilled="1" subtotalTop="0" showAll="0" dataSourceSort="1" defaultSubtotal="0" defaultAttributeDrillState="1">
      <items count="8">
        <item x="0"/>
        <item x="1"/>
        <item x="2"/>
        <item x="3"/>
        <item x="4"/>
        <item x="5"/>
        <item x="6"/>
        <item x="7"/>
      </items>
    </pivotField>
    <pivotField axis="axisPage" allDrilled="1" subtotalTop="0" showAll="0" dataSourceSort="1" defaultSubtotal="0" defaultAttributeDrillState="1"/>
    <pivotField axis="axisPage" allDrilled="1" subtotalTop="0" showAll="0" dataSourceSort="1" defaultSubtotal="0" defaultAttributeDrillState="1">
      <items count="7">
        <item x="0"/>
        <item x="1"/>
        <item x="2"/>
        <item x="3"/>
        <item x="4"/>
        <item x="5"/>
        <item x="6"/>
      </items>
    </pivotField>
  </pivotFields>
  <rowFields count="1">
    <field x="0"/>
  </rowFields>
  <rowItems count="8">
    <i>
      <x/>
    </i>
    <i>
      <x v="1"/>
    </i>
    <i>
      <x v="2"/>
    </i>
    <i>
      <x v="3"/>
    </i>
    <i>
      <x v="4"/>
    </i>
    <i>
      <x v="5"/>
    </i>
    <i>
      <x v="6"/>
    </i>
    <i t="grand">
      <x/>
    </i>
  </rowItems>
  <colItems count="1">
    <i/>
  </colItems>
  <pageFields count="4">
    <pageField fld="3" hier="8" name="[Combined].[Bathroom].[All]" cap="All"/>
    <pageField fld="2" hier="7" name="[Combined].[Bedroom].[All]" cap="All"/>
    <pageField fld="4" hier="10" name="[Combined].[Parking].[All]" cap="All"/>
    <pageField fld="5" hier="4" name="[Combined].[Type].[All]" cap="All"/>
  </pageFields>
  <dataFields count="1">
    <dataField name="Count of PriceClean" fld="1" subtotal="count" baseField="0" baseItem="0"/>
  </dataFields>
  <chartFormats count="2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 chart="0" format="3" series="1">
      <pivotArea type="data" outline="0" fieldPosition="0">
        <references count="2">
          <reference field="4294967294" count="1" selected="0">
            <x v="0"/>
          </reference>
          <reference field="2" count="1" selected="0">
            <x v="8"/>
          </reference>
        </references>
      </pivotArea>
    </chartFormat>
    <chartFormat chart="0" format="4" series="1">
      <pivotArea type="data" outline="0" fieldPosition="0">
        <references count="2">
          <reference field="4294967294" count="1" selected="0">
            <x v="0"/>
          </reference>
          <reference field="2" count="1" selected="0">
            <x v="2"/>
          </reference>
        </references>
      </pivotArea>
    </chartFormat>
    <chartFormat chart="0" format="5" series="1">
      <pivotArea type="data" outline="0" fieldPosition="0">
        <references count="2">
          <reference field="4294967294" count="1" selected="0">
            <x v="0"/>
          </reference>
          <reference field="2" count="1" selected="0">
            <x v="3"/>
          </reference>
        </references>
      </pivotArea>
    </chartFormat>
    <chartFormat chart="0" format="6" series="1">
      <pivotArea type="data" outline="0" fieldPosition="0">
        <references count="2">
          <reference field="4294967294" count="1" selected="0">
            <x v="0"/>
          </reference>
          <reference field="2" count="1" selected="0">
            <x v="4"/>
          </reference>
        </references>
      </pivotArea>
    </chartFormat>
    <chartFormat chart="0" format="7" series="1">
      <pivotArea type="data" outline="0" fieldPosition="0">
        <references count="2">
          <reference field="4294967294" count="1" selected="0">
            <x v="0"/>
          </reference>
          <reference field="2" count="1" selected="0">
            <x v="5"/>
          </reference>
        </references>
      </pivotArea>
    </chartFormat>
    <chartFormat chart="0" format="8" series="1">
      <pivotArea type="data" outline="0" fieldPosition="0">
        <references count="2">
          <reference field="4294967294" count="1" selected="0">
            <x v="0"/>
          </reference>
          <reference field="2" count="1" selected="0">
            <x v="6"/>
          </reference>
        </references>
      </pivotArea>
    </chartFormat>
    <chartFormat chart="0" format="9" series="1">
      <pivotArea type="data" outline="0" fieldPosition="0">
        <references count="2">
          <reference field="4294967294" count="1" selected="0">
            <x v="0"/>
          </reference>
          <reference field="2" count="1" selected="0">
            <x v="7"/>
          </reference>
        </references>
      </pivotArea>
    </chartFormat>
    <chartFormat chart="0" format="10" series="1">
      <pivotArea type="data" outline="0" fieldPosition="0">
        <references count="2">
          <reference field="4294967294" count="1" selected="0">
            <x v="0"/>
          </reference>
          <reference field="3" count="1" selected="0">
            <x v="1"/>
          </reference>
        </references>
      </pivotArea>
    </chartFormat>
    <chartFormat chart="0" format="11" series="1">
      <pivotArea type="data" outline="0" fieldPosition="0">
        <references count="2">
          <reference field="4294967294" count="1" selected="0">
            <x v="0"/>
          </reference>
          <reference field="3" count="1" selected="0">
            <x v="2"/>
          </reference>
        </references>
      </pivotArea>
    </chartFormat>
    <chartFormat chart="0" format="12" series="1">
      <pivotArea type="data" outline="0" fieldPosition="0">
        <references count="2">
          <reference field="4294967294" count="1" selected="0">
            <x v="0"/>
          </reference>
          <reference field="3" count="1" selected="0">
            <x v="3"/>
          </reference>
        </references>
      </pivotArea>
    </chartFormat>
    <chartFormat chart="0" format="13" series="1">
      <pivotArea type="data" outline="0" fieldPosition="0">
        <references count="2">
          <reference field="4294967294" count="1" selected="0">
            <x v="0"/>
          </reference>
          <reference field="3" count="1" selected="0">
            <x v="4"/>
          </reference>
        </references>
      </pivotArea>
    </chartFormat>
    <chartFormat chart="0" format="14" series="1">
      <pivotArea type="data" outline="0" fieldPosition="0">
        <references count="2">
          <reference field="4294967294" count="1" selected="0">
            <x v="0"/>
          </reference>
          <reference field="3" count="1" selected="0">
            <x v="5"/>
          </reference>
        </references>
      </pivotArea>
    </chartFormat>
    <chartFormat chart="0" format="15" series="1">
      <pivotArea type="data" outline="0" fieldPosition="0">
        <references count="2">
          <reference field="4294967294" count="1" selected="0">
            <x v="0"/>
          </reference>
          <reference field="3" count="1" selected="0">
            <x v="6"/>
          </reference>
        </references>
      </pivotArea>
    </chartFormat>
    <chartFormat chart="0" format="16" series="1">
      <pivotArea type="data" outline="0" fieldPosition="0">
        <references count="2">
          <reference field="4294967294" count="1" selected="0">
            <x v="0"/>
          </reference>
          <reference field="3" count="1" selected="0">
            <x v="7"/>
          </reference>
        </references>
      </pivotArea>
    </chartFormat>
    <chartFormat chart="0" format="17">
      <pivotArea type="data" outline="0" fieldPosition="0">
        <references count="2">
          <reference field="4294967294" count="1" selected="0">
            <x v="0"/>
          </reference>
          <reference field="0" count="1" selected="0">
            <x v="6"/>
          </reference>
        </references>
      </pivotArea>
    </chartFormat>
    <chartFormat chart="0" format="17" series="1">
      <pivotArea type="data" outline="0" fieldPosition="0">
        <references count="2">
          <reference field="4294967294" count="1" selected="0">
            <x v="0"/>
          </reference>
          <reference field="5" count="1" selected="0">
            <x v="1"/>
          </reference>
        </references>
      </pivotArea>
    </chartFormat>
    <chartFormat chart="0" format="18" series="1">
      <pivotArea type="data" outline="0" fieldPosition="0">
        <references count="2">
          <reference field="4294967294" count="1" selected="0">
            <x v="0"/>
          </reference>
          <reference field="5" count="1" selected="0">
            <x v="2"/>
          </reference>
        </references>
      </pivotArea>
    </chartFormat>
    <chartFormat chart="0" format="19" series="1">
      <pivotArea type="data" outline="0" fieldPosition="0">
        <references count="2">
          <reference field="4294967294" count="1" selected="0">
            <x v="0"/>
          </reference>
          <reference field="5" count="1" selected="0">
            <x v="3"/>
          </reference>
        </references>
      </pivotArea>
    </chartFormat>
    <chartFormat chart="0" format="20" series="1">
      <pivotArea type="data" outline="0" fieldPosition="0">
        <references count="2">
          <reference field="4294967294" count="1" selected="0">
            <x v="0"/>
          </reference>
          <reference field="5" count="1" selected="0">
            <x v="4"/>
          </reference>
        </references>
      </pivotArea>
    </chartFormat>
    <chartFormat chart="0" format="21" series="1">
      <pivotArea type="data" outline="0" fieldPosition="0">
        <references count="2">
          <reference field="4294967294" count="1" selected="0">
            <x v="0"/>
          </reference>
          <reference field="5" count="1" selected="0">
            <x v="5"/>
          </reference>
        </references>
      </pivotArea>
    </chartFormat>
    <chartFormat chart="0" format="22" series="1">
      <pivotArea type="data" outline="0" fieldPosition="0">
        <references count="2">
          <reference field="4294967294" count="1" selected="0">
            <x v="0"/>
          </reference>
          <reference field="5" count="1" selected="0">
            <x v="6"/>
          </reference>
        </references>
      </pivotArea>
    </chartFormat>
    <chartFormat chart="5" format="24"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Count of PriceClean"/>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alestate1 (version 1).xlsb!Combined">
        <x15:activeTabTopLevelEntity name="[Combi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B891F7-549D-448C-9085-724DE5CEB77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4:B42" firstHeaderRow="1" firstDataRow="1" firstDataCol="1"/>
  <pivotFields count="16">
    <pivotField showAll="0"/>
    <pivotField dataField="1" showAll="0"/>
    <pivotField showAll="0">
      <items count="22">
        <item x="3"/>
        <item x="15"/>
        <item x="13"/>
        <item x="6"/>
        <item x="4"/>
        <item x="11"/>
        <item x="1"/>
        <item x="20"/>
        <item x="2"/>
        <item x="19"/>
        <item x="9"/>
        <item x="18"/>
        <item x="10"/>
        <item x="7"/>
        <item x="16"/>
        <item x="0"/>
        <item x="12"/>
        <item x="5"/>
        <item x="17"/>
        <item x="8"/>
        <item x="14"/>
        <item t="default"/>
      </items>
    </pivotField>
    <pivotField showAll="0"/>
    <pivotField axis="axisRow" showAll="0">
      <items count="8">
        <item x="2"/>
        <item x="4"/>
        <item x="1"/>
        <item x="5"/>
        <item x="6"/>
        <item x="3"/>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Count of Addres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21C986-5E9D-43C4-BCFE-847B19FCF7D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113:P115" firstHeaderRow="1" firstDataRow="2" firstDataCol="1"/>
  <pivotFields count="16">
    <pivotField showAll="0"/>
    <pivotField dataField="1" showAll="0"/>
    <pivotField axis="axisCol" showAll="0" measureFilter="1">
      <items count="22">
        <item x="3"/>
        <item x="15"/>
        <item x="13"/>
        <item x="6"/>
        <item x="4"/>
        <item x="11"/>
        <item x="1"/>
        <item x="20"/>
        <item x="2"/>
        <item x="19"/>
        <item x="9"/>
        <item x="18"/>
        <item x="10"/>
        <item x="7"/>
        <item x="16"/>
        <item x="0"/>
        <item x="12"/>
        <item x="5"/>
        <item x="17"/>
        <item x="8"/>
        <item x="14"/>
        <item t="default"/>
      </items>
    </pivotField>
    <pivotField showAll="0"/>
    <pivotField showAll="0"/>
    <pivotField showAll="0" measureFilter="1"/>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v="3"/>
    </i>
    <i>
      <x v="6"/>
    </i>
    <i>
      <x v="8"/>
    </i>
    <i t="grand">
      <x/>
    </i>
  </colItems>
  <dataFields count="1">
    <dataField name="Count of Address" fld="1" subtotal="count" baseField="0" baseItem="0"/>
  </dataFields>
  <pivotTableStyleInfo name="PivotStyleLight17" showRowHeaders="1" showColHeaders="1" showRowStripes="0" showColStripes="0" showLastColumn="1"/>
  <filters count="2">
    <filter fld="2" type="count" evalOrder="-1" id="8" iMeasureFld="0">
      <autoFilter ref="A1">
        <filterColumn colId="0">
          <top10 val="3" filterVal="3"/>
        </filterColumn>
      </autoFilter>
    </filter>
    <filter fld="5" type="count" evalOrder="-1" id="9"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897CAE-B83D-4845-AF32-B0EC719F72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6">
    <pivotField showAll="0"/>
    <pivotField dataField="1" showAll="0"/>
    <pivotField showAll="0">
      <items count="22">
        <item x="3"/>
        <item x="15"/>
        <item x="13"/>
        <item x="6"/>
        <item x="4"/>
        <item x="11"/>
        <item x="1"/>
        <item x="20"/>
        <item x="2"/>
        <item x="19"/>
        <item x="9"/>
        <item x="18"/>
        <item x="10"/>
        <item x="7"/>
        <item x="16"/>
        <item x="0"/>
        <item x="12"/>
        <item x="5"/>
        <item x="17"/>
        <item x="8"/>
        <item x="14"/>
        <item t="default"/>
      </items>
    </pivotField>
    <pivotField showAll="0"/>
    <pivotField axis="axisRow" showAll="0">
      <items count="8">
        <item x="2"/>
        <item x="4"/>
        <item x="1"/>
        <item x="5"/>
        <item x="6"/>
        <item x="3"/>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Properties Sol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F6FA25-3254-4134-88D5-9692776CA12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94:I117" firstHeaderRow="1" firstDataRow="2" firstDataCol="1"/>
  <pivotFields count="16">
    <pivotField showAll="0"/>
    <pivotField showAll="0"/>
    <pivotField axis="axisRow" showAll="0">
      <items count="22">
        <item x="3"/>
        <item x="15"/>
        <item x="13"/>
        <item x="6"/>
        <item x="4"/>
        <item x="11"/>
        <item x="1"/>
        <item x="20"/>
        <item x="2"/>
        <item x="19"/>
        <item x="9"/>
        <item x="18"/>
        <item x="10"/>
        <item x="7"/>
        <item x="16"/>
        <item x="0"/>
        <item x="12"/>
        <item x="5"/>
        <item x="17"/>
        <item x="8"/>
        <item x="14"/>
        <item t="default"/>
      </items>
    </pivotField>
    <pivotField showAll="0"/>
    <pivotField axis="axisCol" showAll="0">
      <items count="8">
        <item x="2"/>
        <item x="4"/>
        <item x="1"/>
        <item x="5"/>
        <item x="6"/>
        <item x="3"/>
        <item x="0"/>
        <item t="default"/>
      </items>
    </pivotField>
    <pivotField showAll="0" sortType="descending"/>
    <pivotField showAll="0"/>
    <pivotField showAll="0"/>
    <pivotField showAll="0"/>
    <pivotField showAll="0"/>
    <pivotField showAll="0"/>
    <pivotField showAll="0"/>
    <pivotField showAll="0"/>
    <pivotField showAll="0"/>
    <pivotField showAll="0"/>
    <pivotField dataField="1" showAll="0"/>
  </pivotFields>
  <rowFields count="1">
    <field x="2"/>
  </rowFields>
  <rowItems count="22">
    <i>
      <x/>
    </i>
    <i>
      <x v="1"/>
    </i>
    <i>
      <x v="2"/>
    </i>
    <i>
      <x v="3"/>
    </i>
    <i>
      <x v="4"/>
    </i>
    <i>
      <x v="5"/>
    </i>
    <i>
      <x v="6"/>
    </i>
    <i>
      <x v="7"/>
    </i>
    <i>
      <x v="8"/>
    </i>
    <i>
      <x v="9"/>
    </i>
    <i>
      <x v="10"/>
    </i>
    <i>
      <x v="11"/>
    </i>
    <i>
      <x v="12"/>
    </i>
    <i>
      <x v="13"/>
    </i>
    <i>
      <x v="14"/>
    </i>
    <i>
      <x v="15"/>
    </i>
    <i>
      <x v="16"/>
    </i>
    <i>
      <x v="17"/>
    </i>
    <i>
      <x v="18"/>
    </i>
    <i>
      <x v="19"/>
    </i>
    <i>
      <x v="20"/>
    </i>
    <i t="grand">
      <x/>
    </i>
  </rowItems>
  <colFields count="1">
    <field x="4"/>
  </colFields>
  <colItems count="8">
    <i>
      <x/>
    </i>
    <i>
      <x v="1"/>
    </i>
    <i>
      <x v="2"/>
    </i>
    <i>
      <x v="3"/>
    </i>
    <i>
      <x v="4"/>
    </i>
    <i>
      <x v="5"/>
    </i>
    <i>
      <x v="6"/>
    </i>
    <i t="grand">
      <x/>
    </i>
  </colItems>
  <dataFields count="1">
    <dataField name="Count of PriceClean"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2B041B7-885B-4782-81CF-B08F790BBB4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6:C204" firstHeaderRow="0" firstDataRow="1" firstDataCol="1"/>
  <pivotFields count="16">
    <pivotField showAll="0"/>
    <pivotField showAll="0"/>
    <pivotField showAll="0"/>
    <pivotField showAll="0"/>
    <pivotField axis="axisRow" showAll="0">
      <items count="8">
        <item x="2"/>
        <item x="4"/>
        <item x="1"/>
        <item x="5"/>
        <item x="6"/>
        <item x="3"/>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8">
    <i>
      <x/>
    </i>
    <i>
      <x v="1"/>
    </i>
    <i>
      <x v="2"/>
    </i>
    <i>
      <x v="3"/>
    </i>
    <i>
      <x v="4"/>
    </i>
    <i>
      <x v="5"/>
    </i>
    <i>
      <x v="6"/>
    </i>
    <i t="grand">
      <x/>
    </i>
  </rowItems>
  <colFields count="1">
    <field x="-2"/>
  </colFields>
  <colItems count="2">
    <i>
      <x/>
    </i>
    <i i="1">
      <x v="1"/>
    </i>
  </colItems>
  <dataFields count="2">
    <dataField name="Count of PriceClean" fld="15" subtotal="count" baseField="5" baseItem="0"/>
    <dataField name="Average of PriceClean" fld="15" subtotal="average" baseField="5" baseItem="0" numFmtId="164"/>
  </dataFields>
  <formats count="1">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36EDA61-8D52-4B8E-9EDE-061457B89F4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4:B19" firstHeaderRow="1" firstDataRow="1" firstDataCol="1"/>
  <pivotFields count="16">
    <pivotField showAll="0"/>
    <pivotField dataField="1" showAll="0"/>
    <pivotField axis="axisRow" showAll="0" measureFilter="1">
      <items count="22">
        <item x="3"/>
        <item x="15"/>
        <item x="13"/>
        <item x="6"/>
        <item x="4"/>
        <item x="11"/>
        <item x="1"/>
        <item x="20"/>
        <item x="2"/>
        <item x="19"/>
        <item x="9"/>
        <item x="18"/>
        <item x="10"/>
        <item x="7"/>
        <item x="16"/>
        <item x="0"/>
        <item x="12"/>
        <item x="5"/>
        <item x="17"/>
        <item x="8"/>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v="3"/>
    </i>
    <i>
      <x v="6"/>
    </i>
    <i>
      <x v="8"/>
    </i>
    <i>
      <x v="17"/>
    </i>
    <i t="grand">
      <x/>
    </i>
  </rowItems>
  <colItems count="1">
    <i/>
  </colItems>
  <dataFields count="1">
    <dataField name="Count of Address" fld="1" subtotal="count" baseField="0" baseItem="0"/>
  </dataFields>
  <chartFormats count="1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6"/>
          </reference>
        </references>
      </pivotArea>
    </chartFormat>
    <chartFormat chart="2" format="2">
      <pivotArea type="data" outline="0" fieldPosition="0">
        <references count="2">
          <reference field="4294967294" count="1" selected="0">
            <x v="0"/>
          </reference>
          <reference field="2" count="1" selected="0">
            <x v="5"/>
          </reference>
        </references>
      </pivotArea>
    </chartFormat>
    <chartFormat chart="2" format="3">
      <pivotArea type="data" outline="0" fieldPosition="0">
        <references count="2">
          <reference field="4294967294" count="1" selected="0">
            <x v="0"/>
          </reference>
          <reference field="2" count="1" selected="0">
            <x v="3"/>
          </reference>
        </references>
      </pivotArea>
    </chartFormat>
    <chartFormat chart="2" format="4">
      <pivotArea type="data" outline="0" fieldPosition="0">
        <references count="2">
          <reference field="4294967294" count="1" selected="0">
            <x v="0"/>
          </reference>
          <reference field="2" count="1" selected="0">
            <x v="8"/>
          </reference>
        </references>
      </pivotArea>
    </chartFormat>
    <chartFormat chart="2" format="5">
      <pivotArea type="data" outline="0" fieldPosition="0">
        <references count="2">
          <reference field="4294967294" count="1" selected="0">
            <x v="0"/>
          </reference>
          <reference field="2" count="1" selected="0">
            <x v="9"/>
          </reference>
        </references>
      </pivotArea>
    </chartFormat>
    <chartFormat chart="2" format="6">
      <pivotArea type="data" outline="0" fieldPosition="0">
        <references count="2">
          <reference field="4294967294" count="1" selected="0">
            <x v="0"/>
          </reference>
          <reference field="2" count="1" selected="0">
            <x v="13"/>
          </reference>
        </references>
      </pivotArea>
    </chartFormat>
    <chartFormat chart="2" format="7">
      <pivotArea type="data" outline="0" fieldPosition="0">
        <references count="2">
          <reference field="4294967294" count="1" selected="0">
            <x v="0"/>
          </reference>
          <reference field="2" count="1" selected="0">
            <x v="17"/>
          </reference>
        </references>
      </pivotArea>
    </chartFormat>
    <chartFormat chart="2" format="8">
      <pivotArea type="data" outline="0" fieldPosition="0">
        <references count="2">
          <reference field="4294967294" count="1" selected="0">
            <x v="0"/>
          </reference>
          <reference field="2" count="1" selected="0">
            <x v="18"/>
          </reference>
        </references>
      </pivotArea>
    </chartFormat>
    <chartFormat chart="2" format="9">
      <pivotArea type="data" outline="0" fieldPosition="0">
        <references count="2">
          <reference field="4294967294" count="1" selected="0">
            <x v="0"/>
          </reference>
          <reference field="2" count="1" selected="0">
            <x v="19"/>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2" count="1" selected="0">
            <x v="3"/>
          </reference>
        </references>
      </pivotArea>
    </chartFormat>
    <chartFormat chart="8" format="17">
      <pivotArea type="data" outline="0" fieldPosition="0">
        <references count="2">
          <reference field="4294967294" count="1" selected="0">
            <x v="0"/>
          </reference>
          <reference field="2" count="1" selected="0">
            <x v="6"/>
          </reference>
        </references>
      </pivotArea>
    </chartFormat>
    <chartFormat chart="8" format="18">
      <pivotArea type="data" outline="0" fieldPosition="0">
        <references count="2">
          <reference field="4294967294" count="1" selected="0">
            <x v="0"/>
          </reference>
          <reference field="2" count="1" selected="0">
            <x v="8"/>
          </reference>
        </references>
      </pivotArea>
    </chartFormat>
    <chartFormat chart="8" format="19">
      <pivotArea type="data" outline="0" fieldPosition="0">
        <references count="2">
          <reference field="4294967294" count="1" selected="0">
            <x v="0"/>
          </reference>
          <reference field="2" count="1" selected="0">
            <x v="17"/>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5"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6BD6404-2DC7-4AA0-A7FC-CDD51F0AC8A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07:B213" firstHeaderRow="1" firstDataRow="1" firstDataCol="1"/>
  <pivotFields count="16">
    <pivotField showAll="0"/>
    <pivotField showAll="0"/>
    <pivotField axis="axisRow" showAll="0" measureFilter="1" sortType="ascending">
      <items count="22">
        <item x="3"/>
        <item x="15"/>
        <item x="13"/>
        <item x="6"/>
        <item x="4"/>
        <item x="11"/>
        <item x="1"/>
        <item x="20"/>
        <item x="2"/>
        <item x="19"/>
        <item x="9"/>
        <item x="18"/>
        <item x="10"/>
        <item x="7"/>
        <item x="16"/>
        <item x="0"/>
        <item x="12"/>
        <item x="5"/>
        <item x="17"/>
        <item x="8"/>
        <item x="14"/>
        <item t="default"/>
      </items>
    </pivotField>
    <pivotField showAll="0"/>
    <pivotField showAll="0">
      <items count="8">
        <item x="2"/>
        <item x="4"/>
        <item x="1"/>
        <item x="5"/>
        <item x="6"/>
        <item x="3"/>
        <item x="0"/>
        <item t="default"/>
      </items>
    </pivotField>
    <pivotField showAll="0"/>
    <pivotField showAll="0">
      <items count="4">
        <item x="0"/>
        <item x="2"/>
        <item x="1"/>
        <item t="default"/>
      </items>
    </pivotField>
    <pivotField showAll="0"/>
    <pivotField showAll="0"/>
    <pivotField showAll="0"/>
    <pivotField showAll="0"/>
    <pivotField showAll="0"/>
    <pivotField showAll="0"/>
    <pivotField showAll="0"/>
    <pivotField showAll="0">
      <items count="3">
        <item x="0"/>
        <item x="1"/>
        <item t="default"/>
      </items>
    </pivotField>
    <pivotField dataField="1" numFmtId="164" showAll="0"/>
  </pivotFields>
  <rowFields count="1">
    <field x="2"/>
  </rowFields>
  <rowItems count="6">
    <i>
      <x v="3"/>
    </i>
    <i>
      <x v="7"/>
    </i>
    <i>
      <x v="13"/>
    </i>
    <i>
      <x v="14"/>
    </i>
    <i>
      <x v="17"/>
    </i>
    <i t="grand">
      <x/>
    </i>
  </rowItems>
  <colItems count="1">
    <i/>
  </colItems>
  <dataFields count="1">
    <dataField name="Average of PriceClean" fld="15" subtotal="average" baseField="2" baseItem="0" numFmtId="164"/>
  </dataFields>
  <chartFormats count="2">
    <chartFormat chart="0" format="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7B4A5D9-C78B-496C-9847-7AE18042B35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2:B26" firstHeaderRow="1" firstDataRow="1" firstDataCol="1"/>
  <pivotFields count="16">
    <pivotField showAll="0"/>
    <pivotField dataField="1" showAll="0"/>
    <pivotField showAll="0" measureFilter="1">
      <items count="22">
        <item x="3"/>
        <item x="15"/>
        <item x="13"/>
        <item x="6"/>
        <item x="4"/>
        <item x="11"/>
        <item x="1"/>
        <item x="20"/>
        <item x="2"/>
        <item x="19"/>
        <item x="9"/>
        <item x="18"/>
        <item x="10"/>
        <item x="7"/>
        <item x="16"/>
        <item x="0"/>
        <item x="12"/>
        <item x="5"/>
        <item x="17"/>
        <item x="8"/>
        <item x="14"/>
        <item t="default"/>
      </items>
    </pivotField>
    <pivotField showAll="0"/>
    <pivotField showAll="0"/>
    <pivotField axis="axisRow" showAll="0" measureFilter="1">
      <items count="66">
        <item x="8"/>
        <item x="33"/>
        <item x="55"/>
        <item x="30"/>
        <item x="58"/>
        <item x="7"/>
        <item x="3"/>
        <item m="1" x="64"/>
        <item x="45"/>
        <item x="35"/>
        <item x="20"/>
        <item x="21"/>
        <item x="43"/>
        <item x="60"/>
        <item x="32"/>
        <item x="12"/>
        <item x="17"/>
        <item x="6"/>
        <item x="13"/>
        <item x="14"/>
        <item x="25"/>
        <item x="57"/>
        <item x="2"/>
        <item x="54"/>
        <item x="1"/>
        <item x="41"/>
        <item x="24"/>
        <item x="27"/>
        <item x="46"/>
        <item x="28"/>
        <item x="15"/>
        <item x="10"/>
        <item x="9"/>
        <item m="1" x="63"/>
        <item x="19"/>
        <item x="56"/>
        <item x="23"/>
        <item x="39"/>
        <item x="11"/>
        <item x="22"/>
        <item x="0"/>
        <item m="1" x="62"/>
        <item x="53"/>
        <item x="51"/>
        <item x="18"/>
        <item x="29"/>
        <item x="48"/>
        <item x="38"/>
        <item x="47"/>
        <item x="52"/>
        <item x="37"/>
        <item x="59"/>
        <item x="34"/>
        <item x="16"/>
        <item x="31"/>
        <item x="49"/>
        <item x="36"/>
        <item x="42"/>
        <item x="44"/>
        <item x="5"/>
        <item x="4"/>
        <item x="26"/>
        <item x="61"/>
        <item x="50"/>
        <item x="40"/>
        <item t="default"/>
      </items>
    </pivotField>
    <pivotField showAll="0"/>
    <pivotField showAll="0"/>
    <pivotField showAll="0"/>
    <pivotField showAll="0"/>
    <pivotField showAll="0"/>
    <pivotField showAll="0"/>
    <pivotField showAll="0"/>
    <pivotField showAll="0"/>
    <pivotField showAll="0"/>
    <pivotField showAll="0"/>
  </pivotFields>
  <rowFields count="1">
    <field x="5"/>
  </rowFields>
  <rowItems count="4">
    <i>
      <x v="24"/>
    </i>
    <i>
      <x v="29"/>
    </i>
    <i>
      <x v="48"/>
    </i>
    <i t="grand">
      <x/>
    </i>
  </rowItems>
  <colItems count="1">
    <i/>
  </colItems>
  <dataFields count="1">
    <dataField name="Property Listed" fld="1" subtotal="count"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1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count" evalOrder="-1" id="9" iMeasureFld="0">
      <autoFilter ref="A1">
        <filterColumn colId="0">
          <top10 val="3" filterVal="3"/>
        </filterColumn>
      </autoFilter>
    </filter>
    <filter fld="2" type="count" evalOrder="-1" id="5"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501D671-BBAC-409C-B238-A69DAA4A2BF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79:B192" firstHeaderRow="1" firstDataRow="1" firstDataCol="1"/>
  <pivotFields count="16">
    <pivotField showAll="0"/>
    <pivotField dataField="1" showAll="0"/>
    <pivotField showAll="0"/>
    <pivotField showAll="0"/>
    <pivotField showAll="0"/>
    <pivotField showAll="0"/>
    <pivotField showAll="0"/>
    <pivotField showAll="0"/>
    <pivotField showAll="0"/>
    <pivotField showAll="0"/>
    <pivotField showAll="0"/>
    <pivotField axis="axisRow" showAll="0" measureFilter="1">
      <items count="90">
        <item x="19"/>
        <item x="48"/>
        <item x="38"/>
        <item x="72"/>
        <item x="65"/>
        <item x="7"/>
        <item x="18"/>
        <item x="10"/>
        <item x="60"/>
        <item x="59"/>
        <item m="1" x="88"/>
        <item x="62"/>
        <item x="3"/>
        <item x="61"/>
        <item x="22"/>
        <item x="31"/>
        <item x="46"/>
        <item x="41"/>
        <item x="77"/>
        <item x="56"/>
        <item x="8"/>
        <item x="51"/>
        <item x="45"/>
        <item m="1" x="84"/>
        <item x="2"/>
        <item m="1" x="87"/>
        <item x="42"/>
        <item x="80"/>
        <item x="40"/>
        <item x="79"/>
        <item x="6"/>
        <item x="0"/>
        <item x="15"/>
        <item x="17"/>
        <item x="9"/>
        <item x="28"/>
        <item x="14"/>
        <item x="50"/>
        <item x="29"/>
        <item x="25"/>
        <item x="52"/>
        <item x="1"/>
        <item x="54"/>
        <item x="13"/>
        <item x="64"/>
        <item x="81"/>
        <item x="39"/>
        <item x="70"/>
        <item x="20"/>
        <item x="69"/>
        <item x="82"/>
        <item m="1" x="85"/>
        <item x="68"/>
        <item x="37"/>
        <item x="30"/>
        <item x="36"/>
        <item x="66"/>
        <item x="47"/>
        <item x="57"/>
        <item x="63"/>
        <item x="73"/>
        <item x="78"/>
        <item x="43"/>
        <item x="12"/>
        <item x="34"/>
        <item x="49"/>
        <item x="75"/>
        <item x="4"/>
        <item x="33"/>
        <item x="71"/>
        <item x="35"/>
        <item x="24"/>
        <item x="67"/>
        <item x="26"/>
        <item x="32"/>
        <item x="16"/>
        <item x="11"/>
        <item x="83"/>
        <item x="27"/>
        <item x="23"/>
        <item x="74"/>
        <item x="58"/>
        <item x="76"/>
        <item x="21"/>
        <item x="44"/>
        <item m="1" x="86"/>
        <item x="5"/>
        <item x="55"/>
        <item x="53"/>
        <item t="default"/>
      </items>
    </pivotField>
    <pivotField showAll="0"/>
    <pivotField showAll="0"/>
    <pivotField showAll="0"/>
    <pivotField showAll="0"/>
  </pivotFields>
  <rowFields count="1">
    <field x="11"/>
  </rowFields>
  <rowItems count="13">
    <i>
      <x v="9"/>
    </i>
    <i>
      <x v="41"/>
    </i>
    <i>
      <x v="43"/>
    </i>
    <i>
      <x v="47"/>
    </i>
    <i>
      <x v="52"/>
    </i>
    <i>
      <x v="53"/>
    </i>
    <i>
      <x v="56"/>
    </i>
    <i>
      <x v="66"/>
    </i>
    <i>
      <x v="76"/>
    </i>
    <i>
      <x v="80"/>
    </i>
    <i>
      <x v="81"/>
    </i>
    <i>
      <x v="86"/>
    </i>
    <i t="grand">
      <x/>
    </i>
  </rowItems>
  <colItems count="1">
    <i/>
  </colItems>
  <dataFields count="1">
    <dataField name="listings" fld="1" subtotal="count" baseField="11" baseItem="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3" iMeasureFld="0">
      <autoFilter ref="A1">
        <filterColumn colId="0">
          <top10 val="12" filterVal="1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06EEFBB-5F54-4761-B254-C5091B3EF43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19:E121" firstHeaderRow="1" firstDataRow="2" firstDataCol="1"/>
  <pivotFields count="16">
    <pivotField showAll="0"/>
    <pivotField dataField="1" showAll="0"/>
    <pivotField axis="axisCol" showAll="0" measureFilter="1">
      <items count="22">
        <item x="3"/>
        <item x="15"/>
        <item x="13"/>
        <item x="6"/>
        <item x="4"/>
        <item x="11"/>
        <item x="1"/>
        <item x="20"/>
        <item x="2"/>
        <item x="19"/>
        <item x="9"/>
        <item x="18"/>
        <item x="10"/>
        <item x="7"/>
        <item x="16"/>
        <item x="0"/>
        <item x="12"/>
        <item x="5"/>
        <item x="17"/>
        <item x="8"/>
        <item x="14"/>
        <item t="default"/>
      </items>
    </pivotField>
    <pivotField showAll="0"/>
    <pivotField showAll="0"/>
    <pivotField showAll="0" measureFilter="1"/>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v="3"/>
    </i>
    <i>
      <x v="6"/>
    </i>
    <i>
      <x v="8"/>
    </i>
    <i t="grand">
      <x/>
    </i>
  </colItems>
  <dataFields count="1">
    <dataField name="Count of Address" fld="1" subtotal="count" baseField="0" baseItem="0"/>
  </dataFields>
  <pivotTableStyleInfo name="PivotStyleLight17" showRowHeaders="1" showColHeaders="1" showRowStripes="0" showColStripes="0" showLastColumn="1"/>
  <filters count="2">
    <filter fld="2" type="count" evalOrder="-1" id="8" iMeasureFld="0">
      <autoFilter ref="A1">
        <filterColumn colId="0">
          <top10 val="3" filterVal="3"/>
        </filterColumn>
      </autoFilter>
    </filter>
    <filter fld="5" type="count" evalOrder="-1" id="9"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A695846-0B84-4399-9C28-9BBB6134E4E5}" autoFormatId="16" applyNumberFormats="0" applyBorderFormats="0" applyFontFormats="0" applyPatternFormats="0" applyAlignmentFormats="0" applyWidthHeightFormats="0">
  <queryTableRefresh nextId="18">
    <queryTableFields count="16">
      <queryTableField id="1" name="Price" tableColumnId="1"/>
      <queryTableField id="2" name="Address" tableColumnId="2"/>
      <queryTableField id="3" name="Suburb" tableColumnId="3"/>
      <queryTableField id="4" name="Postal_code" tableColumnId="4"/>
      <queryTableField id="5" name="Type" tableColumnId="5"/>
      <queryTableField id="6" name="Agency" tableColumnId="6"/>
      <queryTableField id="7" name="Condition" tableColumnId="7"/>
      <queryTableField id="8" name="Bedroom" tableColumnId="8"/>
      <queryTableField id="9" name="Bathroom" tableColumnId="9"/>
      <queryTableField id="10" name="state" tableColumnId="10"/>
      <queryTableField id="11" name="Parking" tableColumnId="11"/>
      <queryTableField id="12" name="Agent" tableColumnId="12"/>
      <queryTableField id="13" name="Pictures" tableColumnId="13"/>
      <queryTableField id="14" name="Listing_date" tableColumnId="14"/>
      <queryTableField id="15" name="OpenHouse" tableColumnId="15"/>
      <queryTableField id="17" name="Price_Clean"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447578A3-C800-4068-B39A-F89B1EE3D301}" autoFormatId="16" applyNumberFormats="0" applyBorderFormats="0" applyFontFormats="0" applyPatternFormats="0" applyAlignmentFormats="0" applyWidthHeightFormats="0">
  <queryTableRefresh nextId="54">
    <queryTableFields count="16">
      <queryTableField id="51" name="Price" tableColumnId="36"/>
      <queryTableField id="20" name="Address" tableColumnId="20"/>
      <queryTableField id="21" name="Suburb" tableColumnId="21"/>
      <queryTableField id="22" name="Postal_code" tableColumnId="22"/>
      <queryTableField id="23" name="Type" tableColumnId="23"/>
      <queryTableField id="24" name="Agent" tableColumnId="24"/>
      <queryTableField id="25" name="Agency" tableColumnId="25"/>
      <queryTableField id="26" name="Condition" tableColumnId="26"/>
      <queryTableField id="27" name="State" tableColumnId="27"/>
      <queryTableField id="28" name="Pictures" tableColumnId="28"/>
      <queryTableField id="29" name="Bedroom" tableColumnId="29"/>
      <queryTableField id="30" name="Bathroom" tableColumnId="30"/>
      <queryTableField id="31" name="Parking" tableColumnId="31"/>
      <queryTableField id="48" name="Listing_Date" tableColumnId="34"/>
      <queryTableField id="33" name="OpenHouse" tableColumnId="33"/>
      <queryTableField id="53" name="Price_Clean" tableColumnId="3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57AF68FE-7A91-4CC4-88D8-9227DE309E67}" autoFormatId="16" applyNumberFormats="0" applyBorderFormats="0" applyFontFormats="0" applyPatternFormats="0" applyAlignmentFormats="0" applyWidthHeightFormats="0">
  <queryTableRefresh nextId="23">
    <queryTableFields count="17">
      <queryTableField id="1" name="Price" tableColumnId="1"/>
      <queryTableField id="2" name="Address" tableColumnId="2"/>
      <queryTableField id="3" name="Suburb" tableColumnId="3"/>
      <queryTableField id="17" name="PostalCode" tableColumnId="17"/>
      <queryTableField id="5" name="Type" tableColumnId="5"/>
      <queryTableField id="6" name="Agency" tableColumnId="6"/>
      <queryTableField id="7" name="Condition" tableColumnId="7"/>
      <queryTableField id="8" name="Bedroom" tableColumnId="8"/>
      <queryTableField id="9" name="Bathroom" tableColumnId="9"/>
      <queryTableField id="10" name="state" tableColumnId="10"/>
      <queryTableField id="11" name="Parking" tableColumnId="11"/>
      <queryTableField id="12" name="Agent" tableColumnId="12"/>
      <queryTableField id="13" name="Pictures" tableColumnId="13"/>
      <queryTableField id="18" name="ListingDate" tableColumnId="18"/>
      <queryTableField id="15" name="OpenHouse" tableColumnId="15"/>
      <queryTableField id="19" name="PriceClean" tableColumnId="19"/>
      <queryTableField id="22" name="PriceRang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urb" xr10:uid="{C4CF31A6-C967-41A4-819D-FAABDCBF28D5}" sourceName="Suburb">
  <pivotTables>
    <pivotTable tabId="5" name="PivotTable1"/>
    <pivotTable tabId="5" name="PivotTable2"/>
    <pivotTable tabId="5" name="PivotTable3"/>
    <pivotTable tabId="5" name="PivotTable7"/>
    <pivotTable tabId="5" name="PivotTable4"/>
    <pivotTable tabId="5" name="PivotTable5"/>
    <pivotTable tabId="5" name="PivotTable8"/>
    <pivotTable tabId="5" name="PivotTable9"/>
    <pivotTable tabId="5" name="PivotTable10"/>
    <pivotTable tabId="5" name="PivotTable11"/>
  </pivotTables>
  <data>
    <tabular pivotCacheId="84460628">
      <items count="21">
        <i x="3" s="1"/>
        <i x="15" s="1"/>
        <i x="13" s="1"/>
        <i x="6" s="1"/>
        <i x="4" s="1"/>
        <i x="11" s="1"/>
        <i x="1" s="1"/>
        <i x="20" s="1"/>
        <i x="2" s="1"/>
        <i x="19" s="1"/>
        <i x="9" s="1"/>
        <i x="18" s="1"/>
        <i x="10" s="1"/>
        <i x="7" s="1"/>
        <i x="16" s="1"/>
        <i x="0" s="1"/>
        <i x="12" s="1"/>
        <i x="5" s="1"/>
        <i x="17" s="1"/>
        <i x="8" s="1"/>
        <i x="1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28A73E83-E8C8-4441-BED0-F4528490E6D3}" sourceName="Type">
  <pivotTables>
    <pivotTable tabId="5" name="PivotTable1"/>
  </pivotTables>
  <data>
    <tabular pivotCacheId="84460628">
      <items count="7">
        <i x="2" s="1"/>
        <i x="4" s="1"/>
        <i x="1" s="1"/>
        <i x="5" s="1"/>
        <i x="6"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1" xr10:uid="{37CA12D2-CFD0-4732-8625-ED697AA1D682}" sourceName="[Combined].[Type]">
  <pivotTables>
    <pivotTable tabId="5" name="PivotTable20"/>
  </pivotTables>
  <data>
    <olap pivotCacheId="1202055004">
      <levels count="2">
        <level uniqueName="[Combined].[Type].[(All)]" sourceCaption="(All)" count="0"/>
        <level uniqueName="[Combined].[Type].[Type]" sourceCaption="Type" count="7">
          <ranges>
            <range startItem="0">
              <i n="[Combined].[Type].&amp;[Apartment]" c="Apartment"/>
              <i n="[Combined].[Type].&amp;[Duplex]" c="Duplex"/>
              <i n="[Combined].[Type].&amp;[House]" c="House"/>
              <i n="[Combined].[Type].&amp;[Land]" c="Land"/>
              <i n="[Combined].[Type].&amp;[Other]" c="Other"/>
              <i n="[Combined].[Type].&amp;[Townhouse]" c="Townhouse"/>
              <i n="[Combined].[Type].&amp;[Villa]" c="Villa"/>
            </range>
          </ranges>
        </level>
      </levels>
      <selections count="1">
        <selection n="[Combined].[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urb1" xr10:uid="{896424CE-B863-407E-9843-83852C6CE847}" sourceName="[Combined].[Suburb]">
  <pivotTables>
    <pivotTable tabId="5" name="PivotTable20"/>
  </pivotTables>
  <data>
    <olap pivotCacheId="1202055004">
      <levels count="2">
        <level uniqueName="[Combined].[Suburb].[(All)]" sourceCaption="(All)" count="0"/>
        <level uniqueName="[Combined].[Suburb].[Suburb]" sourceCaption="Suburb" count="21">
          <ranges>
            <range startItem="0">
              <i n="[Combined].[Suburb].&amp;[Beverly Hills]" c="Beverly Hills"/>
              <i n="[Combined].[Suburb].&amp;[Dundas]" c="Dundas"/>
              <i n="[Combined].[Suburb].&amp;[Dundas Valley]" c="Dundas Valley"/>
              <i n="[Combined].[Suburb].&amp;[Epping]" c="Epping"/>
              <i n="[Combined].[Suburb].&amp;[Ermington]" c="Ermington"/>
              <i n="[Combined].[Suburb].&amp;[Granville]" c="Granville"/>
              <i n="[Combined].[Suburb].&amp;[Guildford]" c="Guildford"/>
              <i n="[Combined].[Suburb].&amp;[Harris Park]" c="Harris Park"/>
              <i n="[Combined].[Suburb].&amp;[Hurstville]" c="Hurstville"/>
              <i n="[Combined].[Suburb].&amp;[Kingsgrove]" c="Kingsgrove"/>
              <i n="[Combined].[Suburb].&amp;[Lugarno]" c="Lugarno"/>
              <i n="[Combined].[Suburb].&amp;[Mortdale]" c="Mortdale"/>
              <i n="[Combined].[Suburb].&amp;[North Parramatta]" c="North Parramatta"/>
              <i n="[Combined].[Suburb].&amp;[Northmead]" c="Northmead"/>
              <i n="[Combined].[Suburb].&amp;[Oatlands]" c="Oatlands"/>
              <i n="[Combined].[Suburb].&amp;[Oatley]" c="Oatley"/>
              <i n="[Combined].[Suburb].&amp;[Old Toongabbie]" c="Old Toongabbie"/>
              <i n="[Combined].[Suburb].&amp;[Parramatta]" c="Parramatta"/>
              <i n="[Combined].[Suburb].&amp;[Peakhurst]" c="Peakhurst"/>
              <i n="[Combined].[Suburb].&amp;[Penshurst]" c="Penshurst"/>
              <i n="[Combined].[Suburb].&amp;[South Granville]" c="South Granville"/>
            </range>
          </ranges>
        </level>
      </levels>
      <selections count="1">
        <selection n="[Combined].[Suburb].[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urb 1" xr10:uid="{5E24AAC9-BAC5-4320-8CB9-193AD73ABE97}" cache="Slicer_Suburb" caption="Suburb" style="SlicerStyleLight2" rowHeight="257175"/>
  <slicer name="Type" xr10:uid="{99B11E06-C827-4D9E-9521-5377762D130F}" cache="Slicer_Type" caption="Type" style="SlicerStyleLight2" rowHeight="257175"/>
  <slicer name="Type 1" xr10:uid="{BD963AA9-2E92-42D5-BD44-96BDE996DC87}" cache="Slicer_Type1" caption="Type" level="1" style="SlicerStyleLight2" rowHeight="257175"/>
  <slicer name="Suburb" xr10:uid="{7864CE5E-99A9-4D0E-9BEF-9357FE5653A5}" cache="Slicer_Suburb1" caption="Suburb" level="1" style="SlicerStyleLigh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2" xr10:uid="{E5172BFF-A719-4AA6-8DAA-1265014D160B}" cache="Slicer_Type1" caption="Type" level="1" style="SlicerStyleLight2" rowHeight="257175"/>
  <slicer name="Suburb 2" xr10:uid="{FF01B6BC-344B-4C86-81FE-A59EF21F3F6F}" cache="Slicer_Suburb1" caption="Suburb" level="1" style="SlicerStyleLight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B710FD-06A8-4694-9A23-79E950DECFAC}" name="Hurstville" displayName="Hurstville" ref="A1:P51" tableType="queryTable" totalsRowShown="0">
  <autoFilter ref="A1:P51" xr:uid="{0FB710FD-06A8-4694-9A23-79E950DECFAC}"/>
  <tableColumns count="16">
    <tableColumn id="1" xr3:uid="{21CB390A-6C1D-4C9B-AFE8-8E6B223DDDBC}" uniqueName="1" name="Price" queryTableFieldId="1" dataDxfId="36"/>
    <tableColumn id="2" xr3:uid="{13AE7372-76C7-4020-8B38-89781039252F}" uniqueName="2" name="Address" queryTableFieldId="2" dataDxfId="35"/>
    <tableColumn id="3" xr3:uid="{688487DB-873D-4D5B-8478-8CDED5011090}" uniqueName="3" name="Suburb" queryTableFieldId="3" dataDxfId="34"/>
    <tableColumn id="4" xr3:uid="{30865E78-0688-414B-A185-A16867237BF0}" uniqueName="4" name="Postal_code" queryTableFieldId="4"/>
    <tableColumn id="5" xr3:uid="{8ACE59C6-602D-48C4-B5D7-A051F2CB2338}" uniqueName="5" name="Type" queryTableFieldId="5" dataDxfId="33"/>
    <tableColumn id="6" xr3:uid="{A62B6827-8E60-485C-BBEA-E8DF42615B3A}" uniqueName="6" name="Agency" queryTableFieldId="6" dataDxfId="32"/>
    <tableColumn id="7" xr3:uid="{4B40AF34-01D4-4C69-AE11-CD4BDDD3E077}" uniqueName="7" name="Condition" queryTableFieldId="7" dataDxfId="31"/>
    <tableColumn id="8" xr3:uid="{30A5CCFB-3090-4B55-9C20-ED6619937406}" uniqueName="8" name="Bedroom" queryTableFieldId="8"/>
    <tableColumn id="9" xr3:uid="{C225AA8B-D14B-422A-B0A8-0BA72F24A410}" uniqueName="9" name="Bathroom" queryTableFieldId="9"/>
    <tableColumn id="10" xr3:uid="{32974684-1BD8-47F5-9714-A9EA71EA566F}" uniqueName="10" name="state" queryTableFieldId="10" dataDxfId="30"/>
    <tableColumn id="11" xr3:uid="{CF4FFCF5-C28C-47D9-B3D4-814A3A609C38}" uniqueName="11" name="Parking" queryTableFieldId="11"/>
    <tableColumn id="12" xr3:uid="{5984D077-77CC-43BA-9B77-A2961C02DC5D}" uniqueName="12" name="Agent" queryTableFieldId="12" dataDxfId="29"/>
    <tableColumn id="13" xr3:uid="{93034413-5883-4352-A90A-B669E25337CB}" uniqueName="13" name="Pictures" queryTableFieldId="13"/>
    <tableColumn id="14" xr3:uid="{55DF6E8F-35E0-495A-839B-369203BB91F5}" uniqueName="14" name="Listing_date" queryTableFieldId="14" dataDxfId="28"/>
    <tableColumn id="15" xr3:uid="{8353A100-398F-40F8-A9B0-D45FCECD78C1}" uniqueName="15" name="OpenHouse" queryTableFieldId="15" dataDxfId="27"/>
    <tableColumn id="17" xr3:uid="{A7B54AF1-FE32-409E-B8CC-2668EBEC7BD4}" uniqueName="17" name="Price_Clean" queryTableFieldId="17" dataDxfId="2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9346EB-A144-499E-92EE-A56631090039}" name="Parramatta" displayName="Parramatta" ref="A1:P51" tableType="queryTable" totalsRowShown="0">
  <autoFilter ref="A1:P51" xr:uid="{EA9346EB-A144-499E-92EE-A56631090039}"/>
  <tableColumns count="16">
    <tableColumn id="36" xr3:uid="{3FF71F10-AA6B-4D06-9C5C-D42C07CAC097}" uniqueName="36" name="Price" queryTableFieldId="51" dataDxfId="25"/>
    <tableColumn id="20" xr3:uid="{2D0CF0C7-CA40-4D12-B88D-4FDBA411E117}" uniqueName="20" name="Address" queryTableFieldId="20" dataDxfId="24"/>
    <tableColumn id="21" xr3:uid="{DD41D5A4-71A1-43CB-9843-F155349C9227}" uniqueName="21" name="Suburb" queryTableFieldId="21" dataDxfId="23"/>
    <tableColumn id="22" xr3:uid="{7BBEF570-B71C-4143-90F1-11F9A6E98DA6}" uniqueName="22" name="Postal_code" queryTableFieldId="22"/>
    <tableColumn id="23" xr3:uid="{6F38A2E9-4C8E-4EDB-8CC3-CFB5A6BCE955}" uniqueName="23" name="Type" queryTableFieldId="23" dataDxfId="22"/>
    <tableColumn id="24" xr3:uid="{59D77236-1B79-4956-92F6-38EB56E92E35}" uniqueName="24" name="Agent" queryTableFieldId="24" dataDxfId="21"/>
    <tableColumn id="25" xr3:uid="{3985D1BA-929C-421C-B3FB-DAA850931FE6}" uniqueName="25" name="Agency" queryTableFieldId="25" dataDxfId="20"/>
    <tableColumn id="26" xr3:uid="{81120C96-21AD-49E7-8733-E56A5E41B383}" uniqueName="26" name="Condition" queryTableFieldId="26" dataDxfId="19"/>
    <tableColumn id="27" xr3:uid="{05F0F90D-2213-414F-A6A3-422242353805}" uniqueName="27" name="state" queryTableFieldId="27" dataDxfId="18"/>
    <tableColumn id="28" xr3:uid="{59EAA862-A879-4D09-B5D0-ABE575BA1CE0}" uniqueName="28" name="Pictures" queryTableFieldId="28"/>
    <tableColumn id="29" xr3:uid="{4275DA2A-2EBC-4244-B75B-03A13E4AA9F9}" uniqueName="29" name="Bedroom" queryTableFieldId="29"/>
    <tableColumn id="30" xr3:uid="{61DFDDC1-5007-4640-B993-5B84218E1BD6}" uniqueName="30" name="Bathroom" queryTableFieldId="30"/>
    <tableColumn id="31" xr3:uid="{1A2BF6FA-5D18-4508-9CC0-5A80B869AE7F}" uniqueName="31" name="Parking" queryTableFieldId="31"/>
    <tableColumn id="34" xr3:uid="{60831ABA-14E4-44AB-B54A-9F9118F74CF1}" uniqueName="34" name="Listing_date" queryTableFieldId="48" dataDxfId="17"/>
    <tableColumn id="33" xr3:uid="{1F2C3DE9-F4D1-4235-BDF2-C29DCF79DEF3}" uniqueName="33" name="OpenHouse" queryTableFieldId="33" dataDxfId="16"/>
    <tableColumn id="37" xr3:uid="{9F83A26C-A1E5-48BB-BDD6-B5E34CAB7865}" uniqueName="37" name="Price_Clean" queryTableFieldId="53"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B08DA9-16E7-4D09-B19A-B81C1096A8A1}" name="Combined" displayName="Combined" ref="A1:Q97" tableType="queryTable" totalsRowShown="0">
  <autoFilter ref="A1:Q97" xr:uid="{B0B08DA9-16E7-4D09-B19A-B81C1096A8A1}"/>
  <tableColumns count="17">
    <tableColumn id="1" xr3:uid="{0511D5E1-FD50-429F-8564-43A5235984DA}" uniqueName="1" name="Price" queryTableFieldId="1" dataDxfId="14"/>
    <tableColumn id="2" xr3:uid="{964E0C18-BC0B-4CB6-A4E7-CE3C57355A85}" uniqueName="2" name="Address" queryTableFieldId="2" dataDxfId="13"/>
    <tableColumn id="3" xr3:uid="{5A1B75F9-83DF-41F0-8CEC-7BB4AD67612F}" uniqueName="3" name="Suburb" queryTableFieldId="3" dataDxfId="12"/>
    <tableColumn id="17" xr3:uid="{D5580E8C-271F-4147-8347-D48D65FC063A}" uniqueName="17" name="PostalCode" queryTableFieldId="17"/>
    <tableColumn id="5" xr3:uid="{1FBCB8A4-8E83-4937-B2F8-6AE831488425}" uniqueName="5" name="Type" queryTableFieldId="5" dataDxfId="11"/>
    <tableColumn id="6" xr3:uid="{170F6C41-4E63-4B98-90E3-D8C1D9F01FCF}" uniqueName="6" name="Agency" queryTableFieldId="6" dataDxfId="10"/>
    <tableColumn id="7" xr3:uid="{2E28B575-BE45-4C1B-840C-24FBC6CC490F}" uniqueName="7" name="Condition" queryTableFieldId="7" dataDxfId="9"/>
    <tableColumn id="8" xr3:uid="{E21E8BC7-8838-4271-A253-987FFE97F516}" uniqueName="8" name="Bedroom" queryTableFieldId="8" dataDxfId="8"/>
    <tableColumn id="9" xr3:uid="{F5A0E878-FB87-4B86-8EED-D8040475F834}" uniqueName="9" name="Bathroom" queryTableFieldId="9" dataDxfId="7"/>
    <tableColumn id="10" xr3:uid="{D230A82A-9F49-4E13-A292-3DC74A3A9CE8}" uniqueName="10" name="State" queryTableFieldId="10" dataDxfId="6"/>
    <tableColumn id="11" xr3:uid="{BD88655B-A079-4033-91FA-908148E177A4}" uniqueName="11" name="Parking" queryTableFieldId="11" dataDxfId="5"/>
    <tableColumn id="12" xr3:uid="{472EC7FC-B255-4C5A-B245-47FD60D4D034}" uniqueName="12" name="Agent" queryTableFieldId="12" dataDxfId="4"/>
    <tableColumn id="13" xr3:uid="{808C0E5D-1178-4149-A5E5-16DE12242D4E}" uniqueName="13" name="Pictures" queryTableFieldId="13"/>
    <tableColumn id="18" xr3:uid="{A90E5E79-7FC1-415A-96C8-7B0ECD34F6A6}" uniqueName="18" name="ListingDate" queryTableFieldId="18" dataDxfId="3"/>
    <tableColumn id="15" xr3:uid="{39B02217-873B-48A4-9835-AE77BDE085EC}" uniqueName="15" name="OpenHouse" queryTableFieldId="15" dataDxfId="2"/>
    <tableColumn id="19" xr3:uid="{59013DCF-3CBE-4658-9FAA-798E36D6270C}" uniqueName="19" name="PriceClean" queryTableFieldId="19" dataDxfId="1"/>
    <tableColumn id="4" xr3:uid="{3C841EF3-794B-45BC-8710-4936DA7ABB07}" uniqueName="4" name="PriceRange" queryTableField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18" Type="http://schemas.openxmlformats.org/officeDocument/2006/relationships/drawing" Target="../drawings/drawing1.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17" Type="http://schemas.openxmlformats.org/officeDocument/2006/relationships/printerSettings" Target="../printerSettings/printerSettings1.bin"/><Relationship Id="rId2" Type="http://schemas.openxmlformats.org/officeDocument/2006/relationships/pivotTable" Target="../pivotTables/pivotTable3.xml"/><Relationship Id="rId16" Type="http://schemas.openxmlformats.org/officeDocument/2006/relationships/pivotTable" Target="../pivotTables/pivotTable17.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pivotTable" Target="../pivotTables/pivotTable16.xml"/><Relationship Id="rId10" Type="http://schemas.openxmlformats.org/officeDocument/2006/relationships/pivotTable" Target="../pivotTables/pivotTable11.xml"/><Relationship Id="rId19" Type="http://schemas.microsoft.com/office/2007/relationships/slicer" Target="../slicers/slicer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07/relationships/slicer" Target="../slicers/slicer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15D9E-22C9-4314-88DB-45C0A9F5912B}">
  <dimension ref="A1:P51"/>
  <sheetViews>
    <sheetView topLeftCell="D1" workbookViewId="0">
      <selection activeCell="P15" sqref="P15"/>
    </sheetView>
  </sheetViews>
  <sheetFormatPr defaultRowHeight="15" x14ac:dyDescent="0.25"/>
  <cols>
    <col min="1" max="1" width="39.28515625" bestFit="1" customWidth="1"/>
    <col min="2" max="2" width="26.7109375" bestFit="1" customWidth="1"/>
    <col min="3" max="3" width="11.5703125" bestFit="1" customWidth="1"/>
    <col min="4" max="4" width="14.140625" bestFit="1" customWidth="1"/>
    <col min="5" max="5" width="11.140625" bestFit="1" customWidth="1"/>
    <col min="6" max="6" width="48.28515625" bestFit="1" customWidth="1"/>
    <col min="7" max="7" width="12.28515625" bestFit="1" customWidth="1"/>
    <col min="8" max="8" width="11.42578125" bestFit="1" customWidth="1"/>
    <col min="9" max="9" width="12" bestFit="1" customWidth="1"/>
    <col min="10" max="10" width="7.85546875" bestFit="1" customWidth="1"/>
    <col min="11" max="11" width="9.85546875" bestFit="1" customWidth="1"/>
    <col min="12" max="12" width="43.140625" bestFit="1" customWidth="1"/>
    <col min="13" max="13" width="10.7109375" bestFit="1" customWidth="1"/>
    <col min="14" max="14" width="19" bestFit="1" customWidth="1"/>
    <col min="15" max="15" width="14" bestFit="1" customWidth="1"/>
    <col min="16" max="16" width="14" customWidth="1"/>
    <col min="17" max="17" width="21.710937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403</v>
      </c>
    </row>
    <row r="2" spans="1:16" x14ac:dyDescent="0.25">
      <c r="A2" t="s">
        <v>15</v>
      </c>
      <c r="B2" t="s">
        <v>16</v>
      </c>
      <c r="C2" t="s">
        <v>17</v>
      </c>
      <c r="D2">
        <v>2220</v>
      </c>
      <c r="E2" t="s">
        <v>18</v>
      </c>
      <c r="F2" t="s">
        <v>19</v>
      </c>
      <c r="G2" t="s">
        <v>401</v>
      </c>
      <c r="H2">
        <v>2</v>
      </c>
      <c r="I2">
        <v>2</v>
      </c>
      <c r="J2" t="s">
        <v>20</v>
      </c>
      <c r="K2">
        <v>1</v>
      </c>
      <c r="L2" t="s">
        <v>21</v>
      </c>
      <c r="M2">
        <v>10</v>
      </c>
      <c r="N2" t="s">
        <v>22</v>
      </c>
      <c r="O2" t="s">
        <v>23</v>
      </c>
      <c r="P2" t="s">
        <v>404</v>
      </c>
    </row>
    <row r="3" spans="1:16" x14ac:dyDescent="0.25">
      <c r="A3" t="s">
        <v>24</v>
      </c>
      <c r="B3" t="s">
        <v>25</v>
      </c>
      <c r="C3" t="s">
        <v>17</v>
      </c>
      <c r="D3">
        <v>2220</v>
      </c>
      <c r="E3" t="s">
        <v>18</v>
      </c>
      <c r="F3" t="s">
        <v>19</v>
      </c>
      <c r="G3" t="s">
        <v>401</v>
      </c>
      <c r="H3">
        <v>2</v>
      </c>
      <c r="I3">
        <v>2</v>
      </c>
      <c r="J3" t="s">
        <v>20</v>
      </c>
      <c r="K3">
        <v>1</v>
      </c>
      <c r="L3" t="s">
        <v>21</v>
      </c>
      <c r="M3">
        <v>7</v>
      </c>
      <c r="N3" t="s">
        <v>22</v>
      </c>
      <c r="O3" t="s">
        <v>23</v>
      </c>
      <c r="P3" t="s">
        <v>405</v>
      </c>
    </row>
    <row r="4" spans="1:16" x14ac:dyDescent="0.25">
      <c r="A4" t="s">
        <v>26</v>
      </c>
      <c r="B4" t="s">
        <v>27</v>
      </c>
      <c r="C4" t="s">
        <v>17</v>
      </c>
      <c r="D4">
        <v>2220</v>
      </c>
      <c r="E4" t="s">
        <v>18</v>
      </c>
      <c r="F4" t="s">
        <v>28</v>
      </c>
      <c r="G4" t="s">
        <v>401</v>
      </c>
      <c r="H4">
        <v>3</v>
      </c>
      <c r="I4">
        <v>3</v>
      </c>
      <c r="J4" t="s">
        <v>20</v>
      </c>
      <c r="K4">
        <v>2</v>
      </c>
      <c r="L4" t="s">
        <v>29</v>
      </c>
      <c r="M4">
        <v>15</v>
      </c>
      <c r="N4" t="s">
        <v>22</v>
      </c>
      <c r="O4" t="s">
        <v>23</v>
      </c>
      <c r="P4" t="s">
        <v>338</v>
      </c>
    </row>
    <row r="5" spans="1:16" x14ac:dyDescent="0.25">
      <c r="A5" t="s">
        <v>30</v>
      </c>
      <c r="B5" t="s">
        <v>31</v>
      </c>
      <c r="C5" t="s">
        <v>32</v>
      </c>
      <c r="D5">
        <v>2223</v>
      </c>
      <c r="E5" t="s">
        <v>18</v>
      </c>
      <c r="F5" t="s">
        <v>33</v>
      </c>
      <c r="G5" t="s">
        <v>401</v>
      </c>
      <c r="H5">
        <v>2</v>
      </c>
      <c r="I5">
        <v>2</v>
      </c>
      <c r="J5" t="s">
        <v>20</v>
      </c>
      <c r="K5">
        <v>1</v>
      </c>
      <c r="L5" t="s">
        <v>34</v>
      </c>
      <c r="M5">
        <v>19</v>
      </c>
      <c r="N5" t="s">
        <v>22</v>
      </c>
      <c r="O5" t="s">
        <v>23</v>
      </c>
      <c r="P5" t="s">
        <v>406</v>
      </c>
    </row>
    <row r="6" spans="1:16" x14ac:dyDescent="0.25">
      <c r="A6" t="s">
        <v>35</v>
      </c>
      <c r="B6" t="s">
        <v>36</v>
      </c>
      <c r="C6" t="s">
        <v>37</v>
      </c>
      <c r="D6">
        <v>2210</v>
      </c>
      <c r="E6" t="s">
        <v>38</v>
      </c>
      <c r="F6" t="s">
        <v>33</v>
      </c>
      <c r="G6" t="s">
        <v>401</v>
      </c>
      <c r="H6">
        <v>4</v>
      </c>
      <c r="I6">
        <v>2</v>
      </c>
      <c r="J6" t="s">
        <v>20</v>
      </c>
      <c r="K6">
        <v>2</v>
      </c>
      <c r="L6" t="s">
        <v>39</v>
      </c>
      <c r="M6">
        <v>11</v>
      </c>
      <c r="N6" t="s">
        <v>22</v>
      </c>
      <c r="O6" t="s">
        <v>23</v>
      </c>
      <c r="P6" t="s">
        <v>266</v>
      </c>
    </row>
    <row r="7" spans="1:16" x14ac:dyDescent="0.25">
      <c r="A7" t="s">
        <v>41</v>
      </c>
      <c r="B7" t="s">
        <v>42</v>
      </c>
      <c r="C7" t="s">
        <v>17</v>
      </c>
      <c r="D7">
        <v>2220</v>
      </c>
      <c r="E7" t="s">
        <v>18</v>
      </c>
      <c r="F7" t="s">
        <v>43</v>
      </c>
      <c r="G7" t="s">
        <v>401</v>
      </c>
      <c r="H7">
        <v>1</v>
      </c>
      <c r="I7">
        <v>1</v>
      </c>
      <c r="J7" t="s">
        <v>20</v>
      </c>
      <c r="K7">
        <v>1</v>
      </c>
      <c r="L7" t="s">
        <v>44</v>
      </c>
      <c r="M7">
        <v>7</v>
      </c>
      <c r="N7" t="s">
        <v>22</v>
      </c>
      <c r="O7" t="s">
        <v>23</v>
      </c>
      <c r="P7" t="s">
        <v>407</v>
      </c>
    </row>
    <row r="8" spans="1:16" x14ac:dyDescent="0.25">
      <c r="A8" t="s">
        <v>45</v>
      </c>
      <c r="B8" t="s">
        <v>46</v>
      </c>
      <c r="C8" t="s">
        <v>17</v>
      </c>
      <c r="D8">
        <v>2220</v>
      </c>
      <c r="E8" t="s">
        <v>18</v>
      </c>
      <c r="F8" t="s">
        <v>47</v>
      </c>
      <c r="G8" t="s">
        <v>401</v>
      </c>
      <c r="H8">
        <v>2</v>
      </c>
      <c r="I8">
        <v>2</v>
      </c>
      <c r="J8" t="s">
        <v>20</v>
      </c>
      <c r="K8">
        <v>1</v>
      </c>
      <c r="L8" t="s">
        <v>48</v>
      </c>
      <c r="M8">
        <v>4</v>
      </c>
      <c r="N8" t="s">
        <v>22</v>
      </c>
      <c r="O8" t="s">
        <v>23</v>
      </c>
      <c r="P8" t="s">
        <v>408</v>
      </c>
    </row>
    <row r="9" spans="1:16" x14ac:dyDescent="0.25">
      <c r="A9" t="s">
        <v>49</v>
      </c>
      <c r="B9" t="s">
        <v>50</v>
      </c>
      <c r="C9" t="s">
        <v>51</v>
      </c>
      <c r="D9">
        <v>2222</v>
      </c>
      <c r="E9" t="s">
        <v>38</v>
      </c>
      <c r="F9" t="s">
        <v>52</v>
      </c>
      <c r="G9" t="s">
        <v>401</v>
      </c>
      <c r="H9">
        <v>3</v>
      </c>
      <c r="I9">
        <v>1</v>
      </c>
      <c r="J9" t="s">
        <v>20</v>
      </c>
      <c r="K9">
        <v>2</v>
      </c>
      <c r="L9" t="s">
        <v>53</v>
      </c>
      <c r="M9">
        <v>13</v>
      </c>
      <c r="N9" t="s">
        <v>22</v>
      </c>
      <c r="O9" t="s">
        <v>23</v>
      </c>
      <c r="P9" t="s">
        <v>409</v>
      </c>
    </row>
    <row r="10" spans="1:16" x14ac:dyDescent="0.25">
      <c r="A10" t="s">
        <v>54</v>
      </c>
      <c r="B10" t="s">
        <v>55</v>
      </c>
      <c r="C10" t="s">
        <v>51</v>
      </c>
      <c r="D10">
        <v>2222</v>
      </c>
      <c r="E10" t="s">
        <v>38</v>
      </c>
      <c r="F10" t="s">
        <v>56</v>
      </c>
      <c r="G10" t="s">
        <v>401</v>
      </c>
      <c r="H10">
        <v>5</v>
      </c>
      <c r="I10">
        <v>2</v>
      </c>
      <c r="J10" t="s">
        <v>20</v>
      </c>
      <c r="K10">
        <v>2</v>
      </c>
      <c r="L10" t="s">
        <v>57</v>
      </c>
      <c r="M10">
        <v>9</v>
      </c>
      <c r="N10" t="s">
        <v>22</v>
      </c>
      <c r="O10" t="s">
        <v>23</v>
      </c>
      <c r="P10" t="s">
        <v>337</v>
      </c>
    </row>
    <row r="11" spans="1:16" x14ac:dyDescent="0.25">
      <c r="A11" t="s">
        <v>58</v>
      </c>
      <c r="B11" t="s">
        <v>59</v>
      </c>
      <c r="C11" t="s">
        <v>60</v>
      </c>
      <c r="D11">
        <v>2208</v>
      </c>
      <c r="E11" t="s">
        <v>18</v>
      </c>
      <c r="F11" t="s">
        <v>61</v>
      </c>
      <c r="G11" t="s">
        <v>401</v>
      </c>
      <c r="H11">
        <v>2</v>
      </c>
      <c r="I11">
        <v>2</v>
      </c>
      <c r="J11" t="s">
        <v>20</v>
      </c>
      <c r="K11">
        <v>1</v>
      </c>
      <c r="L11" t="s">
        <v>62</v>
      </c>
      <c r="M11">
        <v>12</v>
      </c>
      <c r="N11" t="s">
        <v>22</v>
      </c>
      <c r="O11" t="s">
        <v>23</v>
      </c>
      <c r="P11" t="s">
        <v>410</v>
      </c>
    </row>
    <row r="12" spans="1:16" x14ac:dyDescent="0.25">
      <c r="A12" t="s">
        <v>446</v>
      </c>
      <c r="B12" t="s">
        <v>447</v>
      </c>
      <c r="C12" t="s">
        <v>17</v>
      </c>
      <c r="D12">
        <v>2220</v>
      </c>
      <c r="E12" t="s">
        <v>38</v>
      </c>
      <c r="F12" t="s">
        <v>165</v>
      </c>
      <c r="G12" t="s">
        <v>401</v>
      </c>
      <c r="H12">
        <v>4</v>
      </c>
      <c r="I12">
        <v>3</v>
      </c>
      <c r="J12" t="s">
        <v>20</v>
      </c>
      <c r="K12">
        <v>1</v>
      </c>
      <c r="L12" t="s">
        <v>448</v>
      </c>
      <c r="M12">
        <v>18</v>
      </c>
      <c r="N12" t="s">
        <v>22</v>
      </c>
      <c r="O12" t="s">
        <v>23</v>
      </c>
      <c r="P12" t="s">
        <v>449</v>
      </c>
    </row>
    <row r="13" spans="1:16" x14ac:dyDescent="0.25">
      <c r="A13" t="s">
        <v>63</v>
      </c>
      <c r="B13" t="s">
        <v>64</v>
      </c>
      <c r="C13" t="s">
        <v>17</v>
      </c>
      <c r="D13">
        <v>2220</v>
      </c>
      <c r="E13" t="s">
        <v>67</v>
      </c>
      <c r="F13" t="s">
        <v>47</v>
      </c>
      <c r="G13" t="s">
        <v>401</v>
      </c>
      <c r="H13">
        <v>4</v>
      </c>
      <c r="I13">
        <v>3</v>
      </c>
      <c r="J13" t="s">
        <v>20</v>
      </c>
      <c r="K13">
        <v>2</v>
      </c>
      <c r="L13" t="s">
        <v>66</v>
      </c>
      <c r="M13">
        <v>10</v>
      </c>
      <c r="N13" t="s">
        <v>22</v>
      </c>
      <c r="O13" t="s">
        <v>23</v>
      </c>
      <c r="P13" t="s">
        <v>292</v>
      </c>
    </row>
    <row r="14" spans="1:16" x14ac:dyDescent="0.25">
      <c r="A14" t="s">
        <v>63</v>
      </c>
      <c r="B14" t="s">
        <v>64</v>
      </c>
      <c r="C14" t="s">
        <v>17</v>
      </c>
      <c r="D14">
        <v>2220</v>
      </c>
      <c r="E14" t="s">
        <v>38</v>
      </c>
      <c r="F14" t="s">
        <v>65</v>
      </c>
      <c r="G14" t="s">
        <v>401</v>
      </c>
      <c r="H14">
        <v>4</v>
      </c>
      <c r="I14">
        <v>2</v>
      </c>
      <c r="J14" t="s">
        <v>20</v>
      </c>
      <c r="K14">
        <v>2</v>
      </c>
      <c r="L14" t="s">
        <v>66</v>
      </c>
      <c r="M14">
        <v>0</v>
      </c>
      <c r="N14" t="s">
        <v>22</v>
      </c>
      <c r="O14" t="s">
        <v>23</v>
      </c>
      <c r="P14" t="s">
        <v>292</v>
      </c>
    </row>
    <row r="15" spans="1:16" x14ac:dyDescent="0.25">
      <c r="A15" t="s">
        <v>68</v>
      </c>
      <c r="B15" t="s">
        <v>69</v>
      </c>
      <c r="C15" t="s">
        <v>70</v>
      </c>
      <c r="D15">
        <v>2210</v>
      </c>
      <c r="E15" t="s">
        <v>38</v>
      </c>
      <c r="F15" t="s">
        <v>71</v>
      </c>
      <c r="G15" t="s">
        <v>401</v>
      </c>
      <c r="H15">
        <v>3</v>
      </c>
      <c r="I15">
        <v>3</v>
      </c>
      <c r="J15" t="s">
        <v>20</v>
      </c>
      <c r="K15">
        <v>2</v>
      </c>
      <c r="L15" t="s">
        <v>73</v>
      </c>
      <c r="M15">
        <v>11</v>
      </c>
      <c r="N15" t="s">
        <v>22</v>
      </c>
      <c r="O15" t="s">
        <v>23</v>
      </c>
      <c r="P15" t="s">
        <v>357</v>
      </c>
    </row>
    <row r="16" spans="1:16" x14ac:dyDescent="0.25">
      <c r="A16" t="s">
        <v>74</v>
      </c>
      <c r="B16" t="s">
        <v>75</v>
      </c>
      <c r="C16" t="s">
        <v>17</v>
      </c>
      <c r="D16">
        <v>2220</v>
      </c>
      <c r="E16" t="s">
        <v>18</v>
      </c>
      <c r="F16" t="s">
        <v>76</v>
      </c>
      <c r="G16" t="s">
        <v>401</v>
      </c>
      <c r="H16">
        <v>2</v>
      </c>
      <c r="I16">
        <v>2</v>
      </c>
      <c r="J16" t="s">
        <v>20</v>
      </c>
      <c r="K16">
        <v>1</v>
      </c>
      <c r="L16" t="s">
        <v>77</v>
      </c>
      <c r="M16">
        <v>31</v>
      </c>
      <c r="N16" t="s">
        <v>22</v>
      </c>
      <c r="O16" t="s">
        <v>23</v>
      </c>
      <c r="P16" t="s">
        <v>411</v>
      </c>
    </row>
    <row r="17" spans="1:16" x14ac:dyDescent="0.25">
      <c r="A17" t="s">
        <v>78</v>
      </c>
      <c r="B17" t="s">
        <v>79</v>
      </c>
      <c r="C17" t="s">
        <v>70</v>
      </c>
      <c r="D17">
        <v>2210</v>
      </c>
      <c r="E17" t="s">
        <v>38</v>
      </c>
      <c r="F17" t="s">
        <v>52</v>
      </c>
      <c r="G17" t="s">
        <v>401</v>
      </c>
      <c r="H17">
        <v>1</v>
      </c>
      <c r="I17">
        <v>1</v>
      </c>
      <c r="J17" t="s">
        <v>20</v>
      </c>
      <c r="K17">
        <v>0</v>
      </c>
      <c r="L17" t="s">
        <v>80</v>
      </c>
      <c r="M17">
        <v>13</v>
      </c>
      <c r="N17" t="s">
        <v>22</v>
      </c>
      <c r="O17" t="s">
        <v>23</v>
      </c>
      <c r="P17" t="s">
        <v>257</v>
      </c>
    </row>
    <row r="18" spans="1:16" x14ac:dyDescent="0.25">
      <c r="A18" t="s">
        <v>82</v>
      </c>
      <c r="B18" t="s">
        <v>83</v>
      </c>
      <c r="C18" t="s">
        <v>60</v>
      </c>
      <c r="D18">
        <v>2208</v>
      </c>
      <c r="E18" t="s">
        <v>38</v>
      </c>
      <c r="F18" t="s">
        <v>84</v>
      </c>
      <c r="G18" t="s">
        <v>401</v>
      </c>
      <c r="H18">
        <v>5</v>
      </c>
      <c r="I18">
        <v>3</v>
      </c>
      <c r="J18" t="s">
        <v>20</v>
      </c>
      <c r="K18">
        <v>2</v>
      </c>
      <c r="L18" t="s">
        <v>85</v>
      </c>
      <c r="M18">
        <v>20</v>
      </c>
      <c r="N18" t="s">
        <v>22</v>
      </c>
      <c r="O18" t="s">
        <v>23</v>
      </c>
      <c r="P18" t="s">
        <v>412</v>
      </c>
    </row>
    <row r="19" spans="1:16" x14ac:dyDescent="0.25">
      <c r="A19" t="s">
        <v>439</v>
      </c>
      <c r="B19" t="s">
        <v>440</v>
      </c>
      <c r="C19" t="s">
        <v>70</v>
      </c>
      <c r="D19">
        <v>2210</v>
      </c>
      <c r="E19" t="s">
        <v>38</v>
      </c>
      <c r="F19" t="s">
        <v>441</v>
      </c>
      <c r="G19" t="s">
        <v>401</v>
      </c>
      <c r="H19">
        <v>4</v>
      </c>
      <c r="I19">
        <v>3</v>
      </c>
      <c r="J19" t="s">
        <v>20</v>
      </c>
      <c r="K19">
        <v>6</v>
      </c>
      <c r="L19" t="s">
        <v>442</v>
      </c>
      <c r="M19">
        <v>18</v>
      </c>
      <c r="N19" t="s">
        <v>22</v>
      </c>
      <c r="O19" t="s">
        <v>23</v>
      </c>
      <c r="P19" t="s">
        <v>450</v>
      </c>
    </row>
    <row r="20" spans="1:16" x14ac:dyDescent="0.25">
      <c r="A20" t="s">
        <v>86</v>
      </c>
      <c r="B20" t="s">
        <v>87</v>
      </c>
      <c r="C20" t="s">
        <v>17</v>
      </c>
      <c r="D20">
        <v>2220</v>
      </c>
      <c r="E20" t="s">
        <v>18</v>
      </c>
      <c r="F20" t="s">
        <v>47</v>
      </c>
      <c r="G20" t="s">
        <v>401</v>
      </c>
      <c r="H20">
        <v>2</v>
      </c>
      <c r="I20">
        <v>3</v>
      </c>
      <c r="J20" t="s">
        <v>20</v>
      </c>
      <c r="K20">
        <v>1</v>
      </c>
      <c r="L20" t="s">
        <v>88</v>
      </c>
      <c r="M20">
        <v>8</v>
      </c>
      <c r="N20" t="s">
        <v>22</v>
      </c>
      <c r="O20" t="s">
        <v>23</v>
      </c>
      <c r="P20" t="s">
        <v>405</v>
      </c>
    </row>
    <row r="21" spans="1:16" x14ac:dyDescent="0.25">
      <c r="A21" t="s">
        <v>86</v>
      </c>
      <c r="B21" t="s">
        <v>87</v>
      </c>
      <c r="C21" t="s">
        <v>17</v>
      </c>
      <c r="D21">
        <v>2220</v>
      </c>
      <c r="E21" t="s">
        <v>18</v>
      </c>
      <c r="F21" t="s">
        <v>65</v>
      </c>
      <c r="G21" t="s">
        <v>401</v>
      </c>
      <c r="H21">
        <v>2</v>
      </c>
      <c r="I21">
        <v>2</v>
      </c>
      <c r="J21" t="s">
        <v>20</v>
      </c>
      <c r="K21">
        <v>1</v>
      </c>
      <c r="L21" t="s">
        <v>88</v>
      </c>
      <c r="M21">
        <v>8</v>
      </c>
      <c r="N21" t="s">
        <v>22</v>
      </c>
      <c r="O21" t="s">
        <v>23</v>
      </c>
      <c r="P21" t="s">
        <v>405</v>
      </c>
    </row>
    <row r="22" spans="1:16" x14ac:dyDescent="0.25">
      <c r="A22" t="s">
        <v>89</v>
      </c>
      <c r="B22" t="s">
        <v>90</v>
      </c>
      <c r="C22" t="s">
        <v>37</v>
      </c>
      <c r="D22">
        <v>2210</v>
      </c>
      <c r="E22" t="s">
        <v>18</v>
      </c>
      <c r="F22" t="s">
        <v>91</v>
      </c>
      <c r="G22" t="s">
        <v>401</v>
      </c>
      <c r="H22">
        <v>2</v>
      </c>
      <c r="I22">
        <v>2</v>
      </c>
      <c r="J22" t="s">
        <v>20</v>
      </c>
      <c r="K22">
        <v>1</v>
      </c>
      <c r="L22" t="s">
        <v>92</v>
      </c>
      <c r="M22">
        <v>8</v>
      </c>
      <c r="N22" t="s">
        <v>22</v>
      </c>
      <c r="O22" t="s">
        <v>23</v>
      </c>
      <c r="P22" t="s">
        <v>150</v>
      </c>
    </row>
    <row r="23" spans="1:16" x14ac:dyDescent="0.25">
      <c r="A23" t="s">
        <v>93</v>
      </c>
      <c r="B23" t="s">
        <v>94</v>
      </c>
      <c r="C23" t="s">
        <v>17</v>
      </c>
      <c r="D23">
        <v>2220</v>
      </c>
      <c r="E23" t="s">
        <v>18</v>
      </c>
      <c r="F23" t="s">
        <v>95</v>
      </c>
      <c r="G23" t="s">
        <v>401</v>
      </c>
      <c r="H23">
        <v>1</v>
      </c>
      <c r="I23">
        <v>1</v>
      </c>
      <c r="J23" t="s">
        <v>20</v>
      </c>
      <c r="K23">
        <v>1</v>
      </c>
      <c r="L23" t="s">
        <v>96</v>
      </c>
      <c r="M23">
        <v>0</v>
      </c>
      <c r="N23" t="s">
        <v>22</v>
      </c>
      <c r="O23" t="s">
        <v>23</v>
      </c>
      <c r="P23" t="s">
        <v>413</v>
      </c>
    </row>
    <row r="24" spans="1:16" x14ac:dyDescent="0.25">
      <c r="A24" t="s">
        <v>97</v>
      </c>
      <c r="B24" t="s">
        <v>98</v>
      </c>
      <c r="C24" t="s">
        <v>51</v>
      </c>
      <c r="D24">
        <v>2222</v>
      </c>
      <c r="E24" t="s">
        <v>38</v>
      </c>
      <c r="F24" t="s">
        <v>28</v>
      </c>
      <c r="G24" t="s">
        <v>401</v>
      </c>
      <c r="H24">
        <v>3</v>
      </c>
      <c r="I24">
        <v>1</v>
      </c>
      <c r="J24" t="s">
        <v>20</v>
      </c>
      <c r="K24">
        <v>15</v>
      </c>
      <c r="L24" t="s">
        <v>99</v>
      </c>
      <c r="M24">
        <v>6</v>
      </c>
      <c r="N24" t="s">
        <v>22</v>
      </c>
      <c r="O24" t="s">
        <v>23</v>
      </c>
      <c r="P24" t="s">
        <v>414</v>
      </c>
    </row>
    <row r="25" spans="1:16" x14ac:dyDescent="0.25">
      <c r="A25" t="s">
        <v>100</v>
      </c>
      <c r="B25" t="s">
        <v>101</v>
      </c>
      <c r="C25" t="s">
        <v>70</v>
      </c>
      <c r="D25">
        <v>2210</v>
      </c>
      <c r="E25" t="s">
        <v>38</v>
      </c>
      <c r="F25" t="s">
        <v>56</v>
      </c>
      <c r="G25" t="s">
        <v>401</v>
      </c>
      <c r="H25">
        <v>1</v>
      </c>
      <c r="I25">
        <v>1</v>
      </c>
      <c r="J25" t="s">
        <v>20</v>
      </c>
      <c r="K25">
        <v>0</v>
      </c>
      <c r="L25" t="s">
        <v>102</v>
      </c>
      <c r="M25">
        <v>6</v>
      </c>
      <c r="N25" t="s">
        <v>22</v>
      </c>
      <c r="O25" t="s">
        <v>23</v>
      </c>
      <c r="P25" t="s">
        <v>415</v>
      </c>
    </row>
    <row r="26" spans="1:16" x14ac:dyDescent="0.25">
      <c r="A26" t="s">
        <v>103</v>
      </c>
      <c r="B26" t="s">
        <v>104</v>
      </c>
      <c r="C26" t="s">
        <v>105</v>
      </c>
      <c r="D26">
        <v>2223</v>
      </c>
      <c r="E26" t="s">
        <v>106</v>
      </c>
      <c r="F26" t="s">
        <v>56</v>
      </c>
      <c r="G26" t="s">
        <v>401</v>
      </c>
      <c r="H26">
        <v>3</v>
      </c>
      <c r="I26">
        <v>2</v>
      </c>
      <c r="J26" t="s">
        <v>20</v>
      </c>
      <c r="K26">
        <v>1</v>
      </c>
      <c r="L26" t="s">
        <v>107</v>
      </c>
      <c r="M26">
        <v>12</v>
      </c>
      <c r="N26" t="s">
        <v>22</v>
      </c>
      <c r="O26" t="s">
        <v>23</v>
      </c>
      <c r="P26" t="s">
        <v>416</v>
      </c>
    </row>
    <row r="27" spans="1:16" x14ac:dyDescent="0.25">
      <c r="A27" t="s">
        <v>108</v>
      </c>
      <c r="B27" t="s">
        <v>109</v>
      </c>
      <c r="C27" t="s">
        <v>17</v>
      </c>
      <c r="D27">
        <v>2220</v>
      </c>
      <c r="E27" t="s">
        <v>38</v>
      </c>
      <c r="F27" t="s">
        <v>110</v>
      </c>
      <c r="G27" t="s">
        <v>401</v>
      </c>
      <c r="H27">
        <v>5</v>
      </c>
      <c r="I27">
        <v>2</v>
      </c>
      <c r="J27" t="s">
        <v>20</v>
      </c>
      <c r="K27">
        <v>3</v>
      </c>
      <c r="L27" t="s">
        <v>111</v>
      </c>
      <c r="M27">
        <v>7</v>
      </c>
      <c r="N27" t="s">
        <v>438</v>
      </c>
      <c r="O27" t="s">
        <v>40</v>
      </c>
      <c r="P27" t="s">
        <v>192</v>
      </c>
    </row>
    <row r="28" spans="1:16" x14ac:dyDescent="0.25">
      <c r="A28" t="s">
        <v>112</v>
      </c>
      <c r="B28" t="s">
        <v>113</v>
      </c>
      <c r="C28" t="s">
        <v>17</v>
      </c>
      <c r="D28">
        <v>2220</v>
      </c>
      <c r="E28" t="s">
        <v>18</v>
      </c>
      <c r="F28" t="s">
        <v>114</v>
      </c>
      <c r="G28" t="s">
        <v>401</v>
      </c>
      <c r="H28">
        <v>2</v>
      </c>
      <c r="I28">
        <v>2</v>
      </c>
      <c r="J28" t="s">
        <v>20</v>
      </c>
      <c r="K28">
        <v>2</v>
      </c>
      <c r="L28" t="s">
        <v>115</v>
      </c>
      <c r="M28">
        <v>16</v>
      </c>
      <c r="N28" t="s">
        <v>22</v>
      </c>
      <c r="O28" t="s">
        <v>23</v>
      </c>
      <c r="P28" t="s">
        <v>112</v>
      </c>
    </row>
    <row r="29" spans="1:16" x14ac:dyDescent="0.25">
      <c r="A29" t="s">
        <v>116</v>
      </c>
      <c r="B29" t="s">
        <v>117</v>
      </c>
      <c r="C29" t="s">
        <v>17</v>
      </c>
      <c r="D29">
        <v>2220</v>
      </c>
      <c r="E29" t="s">
        <v>18</v>
      </c>
      <c r="F29" t="s">
        <v>118</v>
      </c>
      <c r="G29" t="s">
        <v>401</v>
      </c>
      <c r="H29">
        <v>2</v>
      </c>
      <c r="I29">
        <v>2</v>
      </c>
      <c r="J29" t="s">
        <v>20</v>
      </c>
      <c r="K29">
        <v>1</v>
      </c>
      <c r="L29" t="s">
        <v>119</v>
      </c>
      <c r="M29">
        <v>16</v>
      </c>
      <c r="N29" t="s">
        <v>22</v>
      </c>
      <c r="O29" t="s">
        <v>23</v>
      </c>
      <c r="P29" t="s">
        <v>116</v>
      </c>
    </row>
    <row r="30" spans="1:16" x14ac:dyDescent="0.25">
      <c r="A30" t="s">
        <v>120</v>
      </c>
      <c r="B30" t="s">
        <v>121</v>
      </c>
      <c r="C30" t="s">
        <v>17</v>
      </c>
      <c r="D30">
        <v>2220</v>
      </c>
      <c r="E30" t="s">
        <v>18</v>
      </c>
      <c r="F30" t="s">
        <v>122</v>
      </c>
      <c r="G30" t="s">
        <v>401</v>
      </c>
      <c r="H30">
        <v>2</v>
      </c>
      <c r="I30">
        <v>2</v>
      </c>
      <c r="J30" t="s">
        <v>20</v>
      </c>
      <c r="K30">
        <v>1</v>
      </c>
      <c r="L30" t="s">
        <v>123</v>
      </c>
      <c r="M30">
        <v>6</v>
      </c>
      <c r="N30" t="s">
        <v>22</v>
      </c>
      <c r="O30" t="s">
        <v>23</v>
      </c>
      <c r="P30" t="s">
        <v>120</v>
      </c>
    </row>
    <row r="31" spans="1:16" x14ac:dyDescent="0.25">
      <c r="A31" t="s">
        <v>124</v>
      </c>
      <c r="B31" t="s">
        <v>125</v>
      </c>
      <c r="C31" t="s">
        <v>32</v>
      </c>
      <c r="D31">
        <v>2223</v>
      </c>
      <c r="E31" t="s">
        <v>18</v>
      </c>
      <c r="F31" t="s">
        <v>126</v>
      </c>
      <c r="G31" t="s">
        <v>401</v>
      </c>
      <c r="H31">
        <v>2</v>
      </c>
      <c r="I31">
        <v>2</v>
      </c>
      <c r="J31" t="s">
        <v>20</v>
      </c>
      <c r="K31">
        <v>1</v>
      </c>
      <c r="L31" t="s">
        <v>127</v>
      </c>
      <c r="M31">
        <v>10</v>
      </c>
      <c r="N31" t="s">
        <v>444</v>
      </c>
      <c r="O31" t="s">
        <v>40</v>
      </c>
      <c r="P31" t="s">
        <v>124</v>
      </c>
    </row>
    <row r="32" spans="1:16" x14ac:dyDescent="0.25">
      <c r="A32" t="s">
        <v>128</v>
      </c>
      <c r="B32" t="s">
        <v>129</v>
      </c>
      <c r="C32" t="s">
        <v>17</v>
      </c>
      <c r="D32">
        <v>2220</v>
      </c>
      <c r="E32" t="s">
        <v>18</v>
      </c>
      <c r="F32" t="s">
        <v>130</v>
      </c>
      <c r="G32" t="s">
        <v>401</v>
      </c>
      <c r="H32">
        <v>2</v>
      </c>
      <c r="I32">
        <v>2</v>
      </c>
      <c r="J32" t="s">
        <v>20</v>
      </c>
      <c r="K32">
        <v>1</v>
      </c>
      <c r="L32" t="s">
        <v>131</v>
      </c>
      <c r="M32">
        <v>0</v>
      </c>
      <c r="N32" t="s">
        <v>22</v>
      </c>
      <c r="O32" t="s">
        <v>23</v>
      </c>
      <c r="P32" t="s">
        <v>128</v>
      </c>
    </row>
    <row r="33" spans="1:16" x14ac:dyDescent="0.25">
      <c r="A33" t="s">
        <v>132</v>
      </c>
      <c r="B33" t="s">
        <v>133</v>
      </c>
      <c r="C33" t="s">
        <v>17</v>
      </c>
      <c r="D33">
        <v>2220</v>
      </c>
      <c r="E33" t="s">
        <v>18</v>
      </c>
      <c r="F33" t="s">
        <v>134</v>
      </c>
      <c r="G33" t="s">
        <v>401</v>
      </c>
      <c r="H33">
        <v>2</v>
      </c>
      <c r="I33">
        <v>2</v>
      </c>
      <c r="J33" t="s">
        <v>20</v>
      </c>
      <c r="K33">
        <v>1</v>
      </c>
      <c r="L33" t="s">
        <v>135</v>
      </c>
      <c r="M33">
        <v>6</v>
      </c>
      <c r="N33" t="s">
        <v>22</v>
      </c>
      <c r="O33" t="s">
        <v>23</v>
      </c>
      <c r="P33" t="s">
        <v>132</v>
      </c>
    </row>
    <row r="34" spans="1:16" x14ac:dyDescent="0.25">
      <c r="A34" t="s">
        <v>136</v>
      </c>
      <c r="B34" t="s">
        <v>137</v>
      </c>
      <c r="C34" t="s">
        <v>17</v>
      </c>
      <c r="D34">
        <v>2220</v>
      </c>
      <c r="E34" t="s">
        <v>18</v>
      </c>
      <c r="F34" t="s">
        <v>138</v>
      </c>
      <c r="G34" t="s">
        <v>401</v>
      </c>
      <c r="H34">
        <v>2</v>
      </c>
      <c r="I34">
        <v>2</v>
      </c>
      <c r="J34" t="s">
        <v>20</v>
      </c>
      <c r="K34">
        <v>1</v>
      </c>
      <c r="L34" t="s">
        <v>139</v>
      </c>
      <c r="M34">
        <v>8</v>
      </c>
      <c r="N34" t="s">
        <v>22</v>
      </c>
      <c r="O34" t="s">
        <v>23</v>
      </c>
      <c r="P34" t="s">
        <v>136</v>
      </c>
    </row>
    <row r="35" spans="1:16" x14ac:dyDescent="0.25">
      <c r="A35" t="s">
        <v>140</v>
      </c>
      <c r="B35" t="s">
        <v>141</v>
      </c>
      <c r="C35" t="s">
        <v>37</v>
      </c>
      <c r="D35">
        <v>2210</v>
      </c>
      <c r="E35" t="s">
        <v>18</v>
      </c>
      <c r="F35" t="s">
        <v>95</v>
      </c>
      <c r="G35" t="s">
        <v>401</v>
      </c>
      <c r="H35">
        <v>2</v>
      </c>
      <c r="I35">
        <v>2</v>
      </c>
      <c r="J35" t="s">
        <v>20</v>
      </c>
      <c r="K35">
        <v>1</v>
      </c>
      <c r="L35" t="s">
        <v>142</v>
      </c>
      <c r="M35">
        <v>10</v>
      </c>
      <c r="N35" t="s">
        <v>22</v>
      </c>
      <c r="O35" t="s">
        <v>23</v>
      </c>
      <c r="P35" t="s">
        <v>417</v>
      </c>
    </row>
    <row r="36" spans="1:16" x14ac:dyDescent="0.25">
      <c r="A36" t="s">
        <v>143</v>
      </c>
      <c r="B36" t="s">
        <v>144</v>
      </c>
      <c r="C36" t="s">
        <v>17</v>
      </c>
      <c r="D36">
        <v>2220</v>
      </c>
      <c r="E36" t="s">
        <v>18</v>
      </c>
      <c r="F36" t="s">
        <v>95</v>
      </c>
      <c r="G36" t="s">
        <v>401</v>
      </c>
      <c r="H36">
        <v>2</v>
      </c>
      <c r="I36">
        <v>2</v>
      </c>
      <c r="J36" t="s">
        <v>20</v>
      </c>
      <c r="K36">
        <v>1</v>
      </c>
      <c r="L36" t="s">
        <v>145</v>
      </c>
      <c r="M36">
        <v>10</v>
      </c>
      <c r="N36" t="s">
        <v>22</v>
      </c>
      <c r="O36" t="s">
        <v>23</v>
      </c>
      <c r="P36" t="s">
        <v>143</v>
      </c>
    </row>
    <row r="37" spans="1:16" x14ac:dyDescent="0.25">
      <c r="A37" t="s">
        <v>146</v>
      </c>
      <c r="B37" t="s">
        <v>147</v>
      </c>
      <c r="C37" t="s">
        <v>60</v>
      </c>
      <c r="D37">
        <v>2208</v>
      </c>
      <c r="E37" t="s">
        <v>18</v>
      </c>
      <c r="F37" t="s">
        <v>148</v>
      </c>
      <c r="G37" t="s">
        <v>72</v>
      </c>
      <c r="H37">
        <v>2</v>
      </c>
      <c r="I37">
        <v>2</v>
      </c>
      <c r="J37" t="s">
        <v>20</v>
      </c>
      <c r="K37">
        <v>1</v>
      </c>
      <c r="L37" t="s">
        <v>149</v>
      </c>
      <c r="M37">
        <v>9</v>
      </c>
      <c r="N37" t="s">
        <v>22</v>
      </c>
      <c r="O37" t="s">
        <v>23</v>
      </c>
      <c r="P37" t="s">
        <v>146</v>
      </c>
    </row>
    <row r="38" spans="1:16" x14ac:dyDescent="0.25">
      <c r="A38" t="s">
        <v>150</v>
      </c>
      <c r="B38" t="s">
        <v>151</v>
      </c>
      <c r="C38" t="s">
        <v>60</v>
      </c>
      <c r="D38">
        <v>2208</v>
      </c>
      <c r="E38" t="s">
        <v>18</v>
      </c>
      <c r="F38" t="s">
        <v>148</v>
      </c>
      <c r="G38" t="s">
        <v>401</v>
      </c>
      <c r="H38">
        <v>2</v>
      </c>
      <c r="I38">
        <v>2</v>
      </c>
      <c r="J38" t="s">
        <v>20</v>
      </c>
      <c r="K38">
        <v>1</v>
      </c>
      <c r="L38" t="s">
        <v>149</v>
      </c>
      <c r="M38">
        <v>9</v>
      </c>
      <c r="N38" t="s">
        <v>22</v>
      </c>
      <c r="O38" t="s">
        <v>23</v>
      </c>
      <c r="P38" t="s">
        <v>150</v>
      </c>
    </row>
    <row r="39" spans="1:16" x14ac:dyDescent="0.25">
      <c r="A39" t="s">
        <v>152</v>
      </c>
      <c r="B39" t="s">
        <v>153</v>
      </c>
      <c r="C39" t="s">
        <v>17</v>
      </c>
      <c r="D39">
        <v>2220</v>
      </c>
      <c r="E39" t="s">
        <v>18</v>
      </c>
      <c r="F39" t="s">
        <v>47</v>
      </c>
      <c r="G39" t="s">
        <v>401</v>
      </c>
      <c r="H39">
        <v>2</v>
      </c>
      <c r="I39">
        <v>2</v>
      </c>
      <c r="J39" t="s">
        <v>20</v>
      </c>
      <c r="K39">
        <v>1</v>
      </c>
      <c r="L39" t="s">
        <v>48</v>
      </c>
      <c r="M39">
        <v>5</v>
      </c>
      <c r="N39" t="s">
        <v>22</v>
      </c>
      <c r="O39" t="s">
        <v>23</v>
      </c>
      <c r="P39" t="s">
        <v>407</v>
      </c>
    </row>
    <row r="40" spans="1:16" x14ac:dyDescent="0.25">
      <c r="A40" t="s">
        <v>154</v>
      </c>
      <c r="B40" t="s">
        <v>155</v>
      </c>
      <c r="C40" t="s">
        <v>17</v>
      </c>
      <c r="D40">
        <v>2220</v>
      </c>
      <c r="E40" t="s">
        <v>18</v>
      </c>
      <c r="F40" t="s">
        <v>156</v>
      </c>
      <c r="G40" t="s">
        <v>401</v>
      </c>
      <c r="H40">
        <v>1</v>
      </c>
      <c r="I40">
        <v>1</v>
      </c>
      <c r="J40" t="s">
        <v>20</v>
      </c>
      <c r="K40">
        <v>1</v>
      </c>
      <c r="L40" t="s">
        <v>157</v>
      </c>
      <c r="M40">
        <v>9</v>
      </c>
      <c r="N40" t="s">
        <v>22</v>
      </c>
      <c r="O40" t="s">
        <v>23</v>
      </c>
      <c r="P40" t="s">
        <v>154</v>
      </c>
    </row>
    <row r="41" spans="1:16" x14ac:dyDescent="0.25">
      <c r="A41" t="s">
        <v>158</v>
      </c>
      <c r="B41" t="s">
        <v>159</v>
      </c>
      <c r="C41" t="s">
        <v>17</v>
      </c>
      <c r="D41">
        <v>2220</v>
      </c>
      <c r="E41" t="s">
        <v>18</v>
      </c>
      <c r="F41" t="s">
        <v>118</v>
      </c>
      <c r="G41" t="s">
        <v>401</v>
      </c>
      <c r="H41">
        <v>1</v>
      </c>
      <c r="I41">
        <v>1</v>
      </c>
      <c r="J41" t="s">
        <v>20</v>
      </c>
      <c r="K41">
        <v>1</v>
      </c>
      <c r="L41" t="s">
        <v>119</v>
      </c>
      <c r="M41">
        <v>14</v>
      </c>
      <c r="N41" t="s">
        <v>22</v>
      </c>
      <c r="O41" t="s">
        <v>23</v>
      </c>
      <c r="P41" t="s">
        <v>158</v>
      </c>
    </row>
    <row r="42" spans="1:16" x14ac:dyDescent="0.25">
      <c r="A42" t="s">
        <v>160</v>
      </c>
      <c r="B42" t="s">
        <v>161</v>
      </c>
      <c r="C42" t="s">
        <v>17</v>
      </c>
      <c r="D42">
        <v>2220</v>
      </c>
      <c r="E42" t="s">
        <v>38</v>
      </c>
      <c r="F42" t="s">
        <v>95</v>
      </c>
      <c r="G42" t="s">
        <v>401</v>
      </c>
      <c r="H42">
        <v>6</v>
      </c>
      <c r="I42">
        <v>4</v>
      </c>
      <c r="J42" t="s">
        <v>20</v>
      </c>
      <c r="K42">
        <v>2</v>
      </c>
      <c r="L42" t="s">
        <v>162</v>
      </c>
      <c r="M42">
        <v>15</v>
      </c>
      <c r="N42" t="s">
        <v>22</v>
      </c>
      <c r="O42" t="s">
        <v>23</v>
      </c>
      <c r="P42" t="s">
        <v>418</v>
      </c>
    </row>
    <row r="43" spans="1:16" x14ac:dyDescent="0.25">
      <c r="A43" t="s">
        <v>163</v>
      </c>
      <c r="B43" t="s">
        <v>164</v>
      </c>
      <c r="C43" t="s">
        <v>32</v>
      </c>
      <c r="D43">
        <v>2223</v>
      </c>
      <c r="E43" t="s">
        <v>38</v>
      </c>
      <c r="F43" t="s">
        <v>165</v>
      </c>
      <c r="G43" t="s">
        <v>401</v>
      </c>
      <c r="H43">
        <v>4</v>
      </c>
      <c r="I43">
        <v>2</v>
      </c>
      <c r="J43" t="s">
        <v>20</v>
      </c>
      <c r="K43">
        <v>2</v>
      </c>
      <c r="L43" t="s">
        <v>166</v>
      </c>
      <c r="M43">
        <v>13</v>
      </c>
      <c r="N43" t="s">
        <v>22</v>
      </c>
      <c r="O43" t="s">
        <v>23</v>
      </c>
      <c r="P43" t="s">
        <v>419</v>
      </c>
    </row>
    <row r="44" spans="1:16" x14ac:dyDescent="0.25">
      <c r="A44" t="s">
        <v>167</v>
      </c>
      <c r="B44" t="s">
        <v>168</v>
      </c>
      <c r="C44" t="s">
        <v>81</v>
      </c>
      <c r="D44">
        <v>2209</v>
      </c>
      <c r="E44" t="s">
        <v>169</v>
      </c>
      <c r="F44" t="s">
        <v>170</v>
      </c>
      <c r="G44" t="s">
        <v>401</v>
      </c>
      <c r="H44">
        <v>3</v>
      </c>
      <c r="I44">
        <v>2</v>
      </c>
      <c r="J44" t="s">
        <v>20</v>
      </c>
      <c r="K44">
        <v>1</v>
      </c>
      <c r="L44" t="s">
        <v>171</v>
      </c>
      <c r="M44">
        <v>11</v>
      </c>
      <c r="N44" t="s">
        <v>22</v>
      </c>
      <c r="O44" t="s">
        <v>23</v>
      </c>
      <c r="P44" t="s">
        <v>420</v>
      </c>
    </row>
    <row r="45" spans="1:16" x14ac:dyDescent="0.25">
      <c r="A45" t="s">
        <v>172</v>
      </c>
      <c r="B45" t="s">
        <v>173</v>
      </c>
      <c r="C45" t="s">
        <v>37</v>
      </c>
      <c r="D45">
        <v>2210</v>
      </c>
      <c r="E45" t="s">
        <v>38</v>
      </c>
      <c r="F45" t="s">
        <v>174</v>
      </c>
      <c r="G45" t="s">
        <v>401</v>
      </c>
      <c r="H45">
        <v>5</v>
      </c>
      <c r="I45">
        <v>5</v>
      </c>
      <c r="J45" t="s">
        <v>20</v>
      </c>
      <c r="K45">
        <v>3</v>
      </c>
      <c r="L45" t="s">
        <v>175</v>
      </c>
      <c r="M45">
        <v>13</v>
      </c>
      <c r="N45" t="s">
        <v>22</v>
      </c>
      <c r="O45" t="s">
        <v>23</v>
      </c>
      <c r="P45" t="s">
        <v>266</v>
      </c>
    </row>
    <row r="46" spans="1:16" x14ac:dyDescent="0.25">
      <c r="A46" t="s">
        <v>176</v>
      </c>
      <c r="B46" t="s">
        <v>177</v>
      </c>
      <c r="C46" t="s">
        <v>51</v>
      </c>
      <c r="D46">
        <v>2222</v>
      </c>
      <c r="E46" t="s">
        <v>169</v>
      </c>
      <c r="F46" t="s">
        <v>178</v>
      </c>
      <c r="G46" t="s">
        <v>401</v>
      </c>
      <c r="H46">
        <v>4</v>
      </c>
      <c r="I46">
        <v>3</v>
      </c>
      <c r="J46" t="s">
        <v>20</v>
      </c>
      <c r="K46">
        <v>2</v>
      </c>
      <c r="L46" t="s">
        <v>179</v>
      </c>
      <c r="M46">
        <v>15</v>
      </c>
      <c r="N46" t="s">
        <v>22</v>
      </c>
      <c r="O46" t="s">
        <v>23</v>
      </c>
      <c r="P46" t="s">
        <v>176</v>
      </c>
    </row>
    <row r="47" spans="1:16" x14ac:dyDescent="0.25">
      <c r="A47" t="s">
        <v>180</v>
      </c>
      <c r="B47" t="s">
        <v>181</v>
      </c>
      <c r="C47" t="s">
        <v>17</v>
      </c>
      <c r="D47">
        <v>2220</v>
      </c>
      <c r="E47" t="s">
        <v>18</v>
      </c>
      <c r="F47" t="s">
        <v>184</v>
      </c>
      <c r="G47" t="s">
        <v>401</v>
      </c>
      <c r="H47">
        <v>3</v>
      </c>
      <c r="I47">
        <v>2</v>
      </c>
      <c r="J47" t="s">
        <v>20</v>
      </c>
      <c r="K47">
        <v>2</v>
      </c>
      <c r="M47">
        <v>13</v>
      </c>
      <c r="N47" t="s">
        <v>22</v>
      </c>
      <c r="O47" t="s">
        <v>23</v>
      </c>
      <c r="P47" t="s">
        <v>180</v>
      </c>
    </row>
    <row r="48" spans="1:16" x14ac:dyDescent="0.25">
      <c r="A48" t="s">
        <v>180</v>
      </c>
      <c r="B48" t="s">
        <v>181</v>
      </c>
      <c r="C48" t="s">
        <v>17</v>
      </c>
      <c r="D48">
        <v>2220</v>
      </c>
      <c r="E48" t="s">
        <v>18</v>
      </c>
      <c r="F48" t="s">
        <v>182</v>
      </c>
      <c r="G48" t="s">
        <v>401</v>
      </c>
      <c r="H48">
        <v>3</v>
      </c>
      <c r="I48">
        <v>2</v>
      </c>
      <c r="J48" t="s">
        <v>20</v>
      </c>
      <c r="K48">
        <v>2</v>
      </c>
      <c r="L48" t="s">
        <v>183</v>
      </c>
      <c r="M48">
        <v>13</v>
      </c>
      <c r="N48" t="s">
        <v>22</v>
      </c>
      <c r="O48" t="s">
        <v>23</v>
      </c>
      <c r="P48" t="s">
        <v>180</v>
      </c>
    </row>
    <row r="49" spans="1:16" x14ac:dyDescent="0.25">
      <c r="A49" t="s">
        <v>185</v>
      </c>
      <c r="B49" t="s">
        <v>186</v>
      </c>
      <c r="C49" t="s">
        <v>17</v>
      </c>
      <c r="D49">
        <v>2220</v>
      </c>
      <c r="E49" t="s">
        <v>18</v>
      </c>
      <c r="F49" t="s">
        <v>184</v>
      </c>
      <c r="G49" t="s">
        <v>401</v>
      </c>
      <c r="H49">
        <v>2</v>
      </c>
      <c r="I49">
        <v>2</v>
      </c>
      <c r="J49" t="s">
        <v>20</v>
      </c>
      <c r="K49">
        <v>2</v>
      </c>
      <c r="M49">
        <v>10</v>
      </c>
      <c r="N49" t="s">
        <v>22</v>
      </c>
      <c r="O49" t="s">
        <v>23</v>
      </c>
      <c r="P49" t="s">
        <v>185</v>
      </c>
    </row>
    <row r="50" spans="1:16" x14ac:dyDescent="0.25">
      <c r="A50" t="s">
        <v>185</v>
      </c>
      <c r="B50" t="s">
        <v>186</v>
      </c>
      <c r="C50" t="s">
        <v>17</v>
      </c>
      <c r="D50">
        <v>2220</v>
      </c>
      <c r="E50" t="s">
        <v>18</v>
      </c>
      <c r="F50" t="s">
        <v>182</v>
      </c>
      <c r="G50" t="s">
        <v>401</v>
      </c>
      <c r="H50">
        <v>2</v>
      </c>
      <c r="I50">
        <v>2</v>
      </c>
      <c r="J50" t="s">
        <v>20</v>
      </c>
      <c r="K50">
        <v>2</v>
      </c>
      <c r="L50" t="s">
        <v>187</v>
      </c>
      <c r="M50">
        <v>10</v>
      </c>
      <c r="N50" t="s">
        <v>22</v>
      </c>
      <c r="O50" t="s">
        <v>23</v>
      </c>
      <c r="P50" t="s">
        <v>185</v>
      </c>
    </row>
    <row r="51" spans="1:16" x14ac:dyDescent="0.25">
      <c r="A51" t="s">
        <v>188</v>
      </c>
      <c r="B51" t="s">
        <v>189</v>
      </c>
      <c r="C51" t="s">
        <v>17</v>
      </c>
      <c r="D51">
        <v>2220</v>
      </c>
      <c r="E51" t="s">
        <v>18</v>
      </c>
      <c r="F51" t="s">
        <v>190</v>
      </c>
      <c r="G51" t="s">
        <v>401</v>
      </c>
      <c r="H51">
        <v>3</v>
      </c>
      <c r="I51">
        <v>2</v>
      </c>
      <c r="J51" t="s">
        <v>20</v>
      </c>
      <c r="K51">
        <v>2</v>
      </c>
      <c r="L51" t="s">
        <v>191</v>
      </c>
      <c r="M51">
        <v>13</v>
      </c>
      <c r="N51" t="s">
        <v>22</v>
      </c>
      <c r="O51" t="s">
        <v>23</v>
      </c>
      <c r="P51" t="s">
        <v>420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7E0D8-60EB-4BD9-9F18-68C764D670A4}">
  <dimension ref="A1:P51"/>
  <sheetViews>
    <sheetView topLeftCell="D1" workbookViewId="0">
      <selection activeCell="P18" sqref="P18"/>
    </sheetView>
  </sheetViews>
  <sheetFormatPr defaultRowHeight="15" x14ac:dyDescent="0.25"/>
  <cols>
    <col min="1" max="1" width="41.140625" bestFit="1" customWidth="1"/>
    <col min="2" max="2" width="24" bestFit="1" customWidth="1"/>
    <col min="3" max="3" width="16.5703125" bestFit="1" customWidth="1"/>
    <col min="4" max="4" width="14.140625" bestFit="1" customWidth="1"/>
    <col min="5" max="5" width="11.140625" bestFit="1" customWidth="1"/>
    <col min="6" max="6" width="36.85546875" bestFit="1" customWidth="1"/>
    <col min="7" max="7" width="53.85546875" bestFit="1" customWidth="1"/>
    <col min="8" max="8" width="12.28515625" bestFit="1" customWidth="1"/>
    <col min="9" max="9" width="7.85546875" bestFit="1" customWidth="1"/>
    <col min="10" max="10" width="10.7109375" bestFit="1" customWidth="1"/>
    <col min="11" max="11" width="11.42578125" bestFit="1" customWidth="1"/>
    <col min="12" max="12" width="12" bestFit="1" customWidth="1"/>
    <col min="13" max="13" width="9.85546875" bestFit="1" customWidth="1"/>
    <col min="14" max="14" width="20" bestFit="1" customWidth="1"/>
    <col min="15" max="15" width="14" bestFit="1" customWidth="1"/>
    <col min="16" max="16" width="14" customWidth="1"/>
    <col min="17" max="18" width="10.140625" bestFit="1" customWidth="1"/>
    <col min="19" max="19" width="14" bestFit="1" customWidth="1"/>
    <col min="20" max="20" width="16.28515625" bestFit="1" customWidth="1"/>
    <col min="21" max="21" width="16.5703125" bestFit="1" customWidth="1"/>
    <col min="22" max="23" width="11.42578125" bestFit="1" customWidth="1"/>
    <col min="24" max="24" width="36.85546875" bestFit="1" customWidth="1"/>
    <col min="25" max="25" width="53.85546875" bestFit="1" customWidth="1"/>
    <col min="26" max="27" width="11.42578125" bestFit="1" customWidth="1"/>
    <col min="28" max="34" width="12.42578125" bestFit="1" customWidth="1"/>
    <col min="35" max="35" width="18.85546875" bestFit="1" customWidth="1"/>
    <col min="36" max="36" width="12.42578125" bestFit="1" customWidth="1"/>
    <col min="37" max="37" width="10.140625" bestFit="1" customWidth="1"/>
  </cols>
  <sheetData>
    <row r="1" spans="1:16" x14ac:dyDescent="0.25">
      <c r="A1" t="s">
        <v>0</v>
      </c>
      <c r="B1" t="s">
        <v>1</v>
      </c>
      <c r="C1" t="s">
        <v>2</v>
      </c>
      <c r="D1" t="s">
        <v>3</v>
      </c>
      <c r="E1" t="s">
        <v>4</v>
      </c>
      <c r="F1" t="s">
        <v>11</v>
      </c>
      <c r="G1" t="s">
        <v>5</v>
      </c>
      <c r="H1" t="s">
        <v>6</v>
      </c>
      <c r="I1" t="s">
        <v>9</v>
      </c>
      <c r="J1" t="s">
        <v>12</v>
      </c>
      <c r="K1" t="s">
        <v>7</v>
      </c>
      <c r="L1" t="s">
        <v>8</v>
      </c>
      <c r="M1" t="s">
        <v>10</v>
      </c>
      <c r="N1" t="s">
        <v>13</v>
      </c>
      <c r="O1" t="s">
        <v>14</v>
      </c>
      <c r="P1" t="s">
        <v>403</v>
      </c>
    </row>
    <row r="2" spans="1:16" x14ac:dyDescent="0.25">
      <c r="A2" t="s">
        <v>193</v>
      </c>
      <c r="B2" t="s">
        <v>194</v>
      </c>
      <c r="C2" t="s">
        <v>195</v>
      </c>
      <c r="D2">
        <v>2150</v>
      </c>
      <c r="E2" t="s">
        <v>38</v>
      </c>
      <c r="F2" t="s">
        <v>196</v>
      </c>
      <c r="G2" t="s">
        <v>197</v>
      </c>
      <c r="H2" t="s">
        <v>401</v>
      </c>
      <c r="I2" t="s">
        <v>20</v>
      </c>
      <c r="J2">
        <v>18</v>
      </c>
      <c r="K2">
        <v>6</v>
      </c>
      <c r="L2">
        <v>4</v>
      </c>
      <c r="M2">
        <v>6</v>
      </c>
      <c r="N2" t="s">
        <v>22</v>
      </c>
      <c r="O2" t="s">
        <v>23</v>
      </c>
      <c r="P2" s="5" t="s">
        <v>193</v>
      </c>
    </row>
    <row r="3" spans="1:16" x14ac:dyDescent="0.25">
      <c r="A3" t="s">
        <v>198</v>
      </c>
      <c r="B3" t="s">
        <v>199</v>
      </c>
      <c r="C3" t="s">
        <v>200</v>
      </c>
      <c r="D3">
        <v>2121</v>
      </c>
      <c r="E3" t="s">
        <v>38</v>
      </c>
      <c r="F3" t="s">
        <v>201</v>
      </c>
      <c r="G3" t="s">
        <v>202</v>
      </c>
      <c r="H3" t="s">
        <v>401</v>
      </c>
      <c r="I3" t="s">
        <v>20</v>
      </c>
      <c r="J3">
        <v>15</v>
      </c>
      <c r="K3">
        <v>4</v>
      </c>
      <c r="L3">
        <v>2</v>
      </c>
      <c r="M3">
        <v>2</v>
      </c>
      <c r="N3" t="s">
        <v>443</v>
      </c>
      <c r="O3" t="s">
        <v>40</v>
      </c>
      <c r="P3" s="5" t="s">
        <v>203</v>
      </c>
    </row>
    <row r="4" spans="1:16" x14ac:dyDescent="0.25">
      <c r="A4" t="s">
        <v>204</v>
      </c>
      <c r="B4" t="s">
        <v>205</v>
      </c>
      <c r="C4" t="s">
        <v>200</v>
      </c>
      <c r="D4">
        <v>2121</v>
      </c>
      <c r="E4" t="s">
        <v>38</v>
      </c>
      <c r="F4" t="s">
        <v>206</v>
      </c>
      <c r="G4" t="s">
        <v>207</v>
      </c>
      <c r="H4" t="s">
        <v>401</v>
      </c>
      <c r="I4" t="s">
        <v>20</v>
      </c>
      <c r="J4">
        <v>14</v>
      </c>
      <c r="K4">
        <v>2</v>
      </c>
      <c r="L4">
        <v>1</v>
      </c>
      <c r="M4">
        <v>4</v>
      </c>
      <c r="N4" t="s">
        <v>22</v>
      </c>
      <c r="O4" t="s">
        <v>23</v>
      </c>
      <c r="P4" s="5" t="s">
        <v>402</v>
      </c>
    </row>
    <row r="5" spans="1:16" x14ac:dyDescent="0.25">
      <c r="A5" t="s">
        <v>208</v>
      </c>
      <c r="B5" t="s">
        <v>209</v>
      </c>
      <c r="C5" t="s">
        <v>210</v>
      </c>
      <c r="D5">
        <v>2152</v>
      </c>
      <c r="E5" t="s">
        <v>38</v>
      </c>
      <c r="F5" t="s">
        <v>211</v>
      </c>
      <c r="G5" t="s">
        <v>212</v>
      </c>
      <c r="H5" t="s">
        <v>401</v>
      </c>
      <c r="I5" t="s">
        <v>20</v>
      </c>
      <c r="J5">
        <v>15</v>
      </c>
      <c r="K5">
        <v>4</v>
      </c>
      <c r="L5">
        <v>1</v>
      </c>
      <c r="M5">
        <v>2</v>
      </c>
      <c r="N5" t="s">
        <v>22</v>
      </c>
      <c r="O5" t="s">
        <v>23</v>
      </c>
      <c r="P5" s="5" t="s">
        <v>213</v>
      </c>
    </row>
    <row r="6" spans="1:16" x14ac:dyDescent="0.25">
      <c r="A6" t="s">
        <v>214</v>
      </c>
      <c r="B6" t="s">
        <v>215</v>
      </c>
      <c r="C6" t="s">
        <v>216</v>
      </c>
      <c r="D6">
        <v>2150</v>
      </c>
      <c r="E6" t="s">
        <v>18</v>
      </c>
      <c r="F6" t="s">
        <v>217</v>
      </c>
      <c r="G6" t="s">
        <v>218</v>
      </c>
      <c r="H6" t="s">
        <v>401</v>
      </c>
      <c r="I6" t="s">
        <v>20</v>
      </c>
      <c r="J6">
        <v>27</v>
      </c>
      <c r="K6">
        <v>20</v>
      </c>
      <c r="L6">
        <v>20</v>
      </c>
      <c r="M6">
        <v>2</v>
      </c>
      <c r="N6" t="s">
        <v>22</v>
      </c>
      <c r="O6" t="s">
        <v>23</v>
      </c>
      <c r="P6" s="5" t="s">
        <v>214</v>
      </c>
    </row>
    <row r="7" spans="1:16" x14ac:dyDescent="0.25">
      <c r="A7" t="s">
        <v>214</v>
      </c>
      <c r="B7" t="s">
        <v>215</v>
      </c>
      <c r="C7" t="s">
        <v>216</v>
      </c>
      <c r="D7">
        <v>2150</v>
      </c>
      <c r="E7" t="s">
        <v>219</v>
      </c>
      <c r="F7" t="s">
        <v>217</v>
      </c>
      <c r="G7" t="s">
        <v>218</v>
      </c>
      <c r="H7" t="s">
        <v>401</v>
      </c>
      <c r="I7" t="s">
        <v>20</v>
      </c>
      <c r="J7">
        <v>26</v>
      </c>
      <c r="K7">
        <v>20</v>
      </c>
      <c r="L7">
        <v>21</v>
      </c>
      <c r="M7">
        <v>2</v>
      </c>
      <c r="N7" t="s">
        <v>22</v>
      </c>
      <c r="O7" t="s">
        <v>23</v>
      </c>
      <c r="P7" s="5" t="s">
        <v>214</v>
      </c>
    </row>
    <row r="8" spans="1:16" x14ac:dyDescent="0.25">
      <c r="A8" t="s">
        <v>220</v>
      </c>
      <c r="B8" t="s">
        <v>221</v>
      </c>
      <c r="C8" t="s">
        <v>195</v>
      </c>
      <c r="D8">
        <v>2150</v>
      </c>
      <c r="E8" t="s">
        <v>38</v>
      </c>
      <c r="F8" t="s">
        <v>196</v>
      </c>
      <c r="G8" t="s">
        <v>197</v>
      </c>
      <c r="H8" t="s">
        <v>401</v>
      </c>
      <c r="I8" t="s">
        <v>20</v>
      </c>
      <c r="J8">
        <v>14</v>
      </c>
      <c r="K8">
        <v>4</v>
      </c>
      <c r="L8">
        <v>2</v>
      </c>
      <c r="M8">
        <v>3</v>
      </c>
      <c r="N8" t="s">
        <v>22</v>
      </c>
      <c r="O8" t="s">
        <v>23</v>
      </c>
      <c r="P8" s="5" t="s">
        <v>220</v>
      </c>
    </row>
    <row r="9" spans="1:16" x14ac:dyDescent="0.25">
      <c r="A9" t="s">
        <v>222</v>
      </c>
      <c r="B9" t="s">
        <v>223</v>
      </c>
      <c r="C9" t="s">
        <v>224</v>
      </c>
      <c r="D9">
        <v>2117</v>
      </c>
      <c r="E9" t="s">
        <v>38</v>
      </c>
      <c r="F9" t="s">
        <v>225</v>
      </c>
      <c r="G9" t="s">
        <v>226</v>
      </c>
      <c r="H9" t="s">
        <v>401</v>
      </c>
      <c r="I9" t="s">
        <v>20</v>
      </c>
      <c r="J9">
        <v>25</v>
      </c>
      <c r="K9">
        <v>4</v>
      </c>
      <c r="L9">
        <v>3</v>
      </c>
      <c r="M9">
        <v>2</v>
      </c>
      <c r="N9" t="s">
        <v>22</v>
      </c>
      <c r="O9" t="s">
        <v>23</v>
      </c>
      <c r="P9" s="5" t="s">
        <v>227</v>
      </c>
    </row>
    <row r="10" spans="1:16" x14ac:dyDescent="0.25">
      <c r="A10" t="s">
        <v>228</v>
      </c>
      <c r="B10" t="s">
        <v>229</v>
      </c>
      <c r="C10" t="s">
        <v>230</v>
      </c>
      <c r="D10">
        <v>2161</v>
      </c>
      <c r="E10" t="s">
        <v>38</v>
      </c>
      <c r="F10" t="s">
        <v>231</v>
      </c>
      <c r="G10" t="s">
        <v>232</v>
      </c>
      <c r="H10" t="s">
        <v>401</v>
      </c>
      <c r="I10" t="s">
        <v>20</v>
      </c>
      <c r="J10">
        <v>14</v>
      </c>
      <c r="K10">
        <v>5</v>
      </c>
      <c r="L10">
        <v>5</v>
      </c>
      <c r="M10">
        <v>4</v>
      </c>
      <c r="N10" t="s">
        <v>22</v>
      </c>
      <c r="O10" t="s">
        <v>23</v>
      </c>
      <c r="P10" s="5" t="s">
        <v>233</v>
      </c>
    </row>
    <row r="11" spans="1:16" x14ac:dyDescent="0.25">
      <c r="A11" t="s">
        <v>234</v>
      </c>
      <c r="B11" t="s">
        <v>235</v>
      </c>
      <c r="C11" t="s">
        <v>216</v>
      </c>
      <c r="D11">
        <v>2150</v>
      </c>
      <c r="E11" t="s">
        <v>38</v>
      </c>
      <c r="F11" t="s">
        <v>236</v>
      </c>
      <c r="G11" t="s">
        <v>237</v>
      </c>
      <c r="H11" t="s">
        <v>401</v>
      </c>
      <c r="I11" t="s">
        <v>20</v>
      </c>
      <c r="J11">
        <v>0</v>
      </c>
      <c r="K11">
        <v>3</v>
      </c>
      <c r="L11">
        <v>2</v>
      </c>
      <c r="M11">
        <v>2</v>
      </c>
      <c r="N11" t="s">
        <v>22</v>
      </c>
      <c r="O11" t="s">
        <v>23</v>
      </c>
      <c r="P11" s="5" t="s">
        <v>234</v>
      </c>
    </row>
    <row r="12" spans="1:16" x14ac:dyDescent="0.25">
      <c r="A12" t="s">
        <v>238</v>
      </c>
      <c r="B12" t="s">
        <v>239</v>
      </c>
      <c r="C12" t="s">
        <v>240</v>
      </c>
      <c r="D12">
        <v>2142</v>
      </c>
      <c r="E12" t="s">
        <v>241</v>
      </c>
      <c r="F12" t="s">
        <v>242</v>
      </c>
      <c r="G12" t="s">
        <v>232</v>
      </c>
      <c r="H12" t="s">
        <v>401</v>
      </c>
      <c r="I12" t="s">
        <v>20</v>
      </c>
      <c r="J12">
        <v>4</v>
      </c>
      <c r="K12">
        <v>0</v>
      </c>
      <c r="L12">
        <v>0</v>
      </c>
      <c r="M12">
        <v>0</v>
      </c>
      <c r="N12" t="s">
        <v>22</v>
      </c>
      <c r="O12" t="s">
        <v>23</v>
      </c>
      <c r="P12" s="5" t="s">
        <v>243</v>
      </c>
    </row>
    <row r="13" spans="1:16" x14ac:dyDescent="0.25">
      <c r="A13" t="s">
        <v>244</v>
      </c>
      <c r="B13" t="s">
        <v>245</v>
      </c>
      <c r="C13" t="s">
        <v>230</v>
      </c>
      <c r="D13">
        <v>2161</v>
      </c>
      <c r="E13" t="s">
        <v>38</v>
      </c>
      <c r="F13" t="s">
        <v>246</v>
      </c>
      <c r="G13" t="s">
        <v>247</v>
      </c>
      <c r="H13" t="s">
        <v>401</v>
      </c>
      <c r="I13" t="s">
        <v>20</v>
      </c>
      <c r="J13">
        <v>31</v>
      </c>
      <c r="K13">
        <v>5</v>
      </c>
      <c r="L13">
        <v>3</v>
      </c>
      <c r="M13">
        <v>2</v>
      </c>
      <c r="N13" t="s">
        <v>22</v>
      </c>
      <c r="O13" t="s">
        <v>23</v>
      </c>
      <c r="P13" s="5" t="s">
        <v>243</v>
      </c>
    </row>
    <row r="14" spans="1:16" x14ac:dyDescent="0.25">
      <c r="A14" t="s">
        <v>248</v>
      </c>
      <c r="B14" t="s">
        <v>249</v>
      </c>
      <c r="C14" t="s">
        <v>230</v>
      </c>
      <c r="D14">
        <v>2161</v>
      </c>
      <c r="E14" t="s">
        <v>38</v>
      </c>
      <c r="F14" t="s">
        <v>250</v>
      </c>
      <c r="G14" t="s">
        <v>251</v>
      </c>
      <c r="H14" t="s">
        <v>401</v>
      </c>
      <c r="I14" t="s">
        <v>20</v>
      </c>
      <c r="J14">
        <v>13</v>
      </c>
      <c r="K14">
        <v>7</v>
      </c>
      <c r="L14">
        <v>5</v>
      </c>
      <c r="M14">
        <v>3</v>
      </c>
      <c r="N14" t="s">
        <v>22</v>
      </c>
      <c r="O14" t="s">
        <v>23</v>
      </c>
      <c r="P14" s="5" t="s">
        <v>252</v>
      </c>
    </row>
    <row r="15" spans="1:16" x14ac:dyDescent="0.25">
      <c r="A15" t="s">
        <v>253</v>
      </c>
      <c r="B15" t="s">
        <v>254</v>
      </c>
      <c r="C15" t="s">
        <v>230</v>
      </c>
      <c r="D15">
        <v>2161</v>
      </c>
      <c r="E15" t="s">
        <v>38</v>
      </c>
      <c r="F15" t="s">
        <v>255</v>
      </c>
      <c r="G15" t="s">
        <v>247</v>
      </c>
      <c r="H15" t="s">
        <v>401</v>
      </c>
      <c r="I15" t="s">
        <v>20</v>
      </c>
      <c r="J15">
        <v>28</v>
      </c>
      <c r="K15">
        <v>9</v>
      </c>
      <c r="L15">
        <v>4</v>
      </c>
      <c r="M15">
        <v>2</v>
      </c>
      <c r="N15" t="s">
        <v>256</v>
      </c>
      <c r="O15" t="s">
        <v>40</v>
      </c>
      <c r="P15" s="5" t="s">
        <v>257</v>
      </c>
    </row>
    <row r="16" spans="1:16" x14ac:dyDescent="0.25">
      <c r="A16" t="s">
        <v>258</v>
      </c>
      <c r="B16" t="s">
        <v>259</v>
      </c>
      <c r="C16" t="s">
        <v>230</v>
      </c>
      <c r="D16">
        <v>2161</v>
      </c>
      <c r="E16" t="s">
        <v>38</v>
      </c>
      <c r="F16" t="s">
        <v>260</v>
      </c>
      <c r="G16" t="s">
        <v>197</v>
      </c>
      <c r="H16" t="s">
        <v>401</v>
      </c>
      <c r="I16" t="s">
        <v>20</v>
      </c>
      <c r="J16">
        <v>11</v>
      </c>
      <c r="K16">
        <v>6</v>
      </c>
      <c r="L16">
        <v>3</v>
      </c>
      <c r="M16">
        <v>2</v>
      </c>
      <c r="N16" t="s">
        <v>22</v>
      </c>
      <c r="O16" t="s">
        <v>23</v>
      </c>
      <c r="P16" s="5" t="s">
        <v>257</v>
      </c>
    </row>
    <row r="17" spans="1:16" x14ac:dyDescent="0.25">
      <c r="A17" t="s">
        <v>261</v>
      </c>
      <c r="B17" t="s">
        <v>262</v>
      </c>
      <c r="C17" t="s">
        <v>263</v>
      </c>
      <c r="D17">
        <v>2115</v>
      </c>
      <c r="E17" t="s">
        <v>38</v>
      </c>
      <c r="F17" t="s">
        <v>264</v>
      </c>
      <c r="G17" t="s">
        <v>265</v>
      </c>
      <c r="H17" t="s">
        <v>401</v>
      </c>
      <c r="I17" t="s">
        <v>20</v>
      </c>
      <c r="J17">
        <v>19</v>
      </c>
      <c r="K17">
        <v>4</v>
      </c>
      <c r="L17">
        <v>3</v>
      </c>
      <c r="M17">
        <v>2</v>
      </c>
      <c r="N17" t="s">
        <v>22</v>
      </c>
      <c r="O17" t="s">
        <v>23</v>
      </c>
      <c r="P17" s="5" t="s">
        <v>266</v>
      </c>
    </row>
    <row r="18" spans="1:16" x14ac:dyDescent="0.25">
      <c r="A18" t="s">
        <v>267</v>
      </c>
      <c r="B18" t="s">
        <v>268</v>
      </c>
      <c r="C18" t="s">
        <v>263</v>
      </c>
      <c r="D18">
        <v>2115</v>
      </c>
      <c r="E18" t="s">
        <v>38</v>
      </c>
      <c r="F18" t="s">
        <v>269</v>
      </c>
      <c r="G18" t="s">
        <v>232</v>
      </c>
      <c r="H18" t="s">
        <v>401</v>
      </c>
      <c r="I18" t="s">
        <v>20</v>
      </c>
      <c r="J18">
        <v>13</v>
      </c>
      <c r="K18">
        <v>4</v>
      </c>
      <c r="L18">
        <v>2</v>
      </c>
      <c r="M18">
        <v>4</v>
      </c>
      <c r="N18" t="s">
        <v>22</v>
      </c>
      <c r="O18" t="s">
        <v>23</v>
      </c>
      <c r="P18" s="5" t="s">
        <v>266</v>
      </c>
    </row>
    <row r="19" spans="1:16" x14ac:dyDescent="0.25">
      <c r="A19" t="s">
        <v>270</v>
      </c>
      <c r="B19" t="s">
        <v>271</v>
      </c>
      <c r="C19" t="s">
        <v>230</v>
      </c>
      <c r="D19">
        <v>2161</v>
      </c>
      <c r="E19" t="s">
        <v>38</v>
      </c>
      <c r="F19" t="s">
        <v>272</v>
      </c>
      <c r="G19" t="s">
        <v>232</v>
      </c>
      <c r="H19" t="s">
        <v>401</v>
      </c>
      <c r="I19" t="s">
        <v>20</v>
      </c>
      <c r="J19">
        <v>20</v>
      </c>
      <c r="K19">
        <v>7</v>
      </c>
      <c r="L19">
        <v>3</v>
      </c>
      <c r="M19">
        <v>4</v>
      </c>
      <c r="N19" t="s">
        <v>22</v>
      </c>
      <c r="O19" t="s">
        <v>23</v>
      </c>
      <c r="P19" s="5" t="s">
        <v>266</v>
      </c>
    </row>
    <row r="20" spans="1:16" x14ac:dyDescent="0.25">
      <c r="A20" t="s">
        <v>273</v>
      </c>
      <c r="B20" t="s">
        <v>274</v>
      </c>
      <c r="C20" t="s">
        <v>230</v>
      </c>
      <c r="D20">
        <v>2161</v>
      </c>
      <c r="E20" t="s">
        <v>38</v>
      </c>
      <c r="F20" t="s">
        <v>275</v>
      </c>
      <c r="G20" t="s">
        <v>276</v>
      </c>
      <c r="H20" t="s">
        <v>277</v>
      </c>
      <c r="I20" t="s">
        <v>20</v>
      </c>
      <c r="J20">
        <v>21</v>
      </c>
      <c r="K20">
        <v>7</v>
      </c>
      <c r="L20">
        <v>4</v>
      </c>
      <c r="M20">
        <v>2</v>
      </c>
      <c r="N20" t="s">
        <v>22</v>
      </c>
      <c r="O20" t="s">
        <v>23</v>
      </c>
      <c r="P20" s="5" t="s">
        <v>278</v>
      </c>
    </row>
    <row r="21" spans="1:16" x14ac:dyDescent="0.25">
      <c r="A21" t="s">
        <v>279</v>
      </c>
      <c r="B21" t="s">
        <v>280</v>
      </c>
      <c r="C21" t="s">
        <v>210</v>
      </c>
      <c r="D21">
        <v>2152</v>
      </c>
      <c r="E21" t="s">
        <v>38</v>
      </c>
      <c r="F21" t="s">
        <v>281</v>
      </c>
      <c r="G21" t="s">
        <v>282</v>
      </c>
      <c r="H21" t="s">
        <v>401</v>
      </c>
      <c r="I21" t="s">
        <v>20</v>
      </c>
      <c r="J21">
        <v>11</v>
      </c>
      <c r="K21">
        <v>4</v>
      </c>
      <c r="L21">
        <v>3</v>
      </c>
      <c r="M21">
        <v>1</v>
      </c>
      <c r="N21" t="s">
        <v>22</v>
      </c>
      <c r="O21" t="s">
        <v>23</v>
      </c>
      <c r="P21" s="5" t="s">
        <v>283</v>
      </c>
    </row>
    <row r="22" spans="1:16" x14ac:dyDescent="0.25">
      <c r="A22" t="s">
        <v>284</v>
      </c>
      <c r="B22" t="s">
        <v>285</v>
      </c>
      <c r="C22" t="s">
        <v>200</v>
      </c>
      <c r="D22">
        <v>2121</v>
      </c>
      <c r="E22" t="s">
        <v>38</v>
      </c>
      <c r="F22" t="s">
        <v>286</v>
      </c>
      <c r="G22" t="s">
        <v>202</v>
      </c>
      <c r="H22" t="s">
        <v>72</v>
      </c>
      <c r="I22" t="s">
        <v>20</v>
      </c>
      <c r="J22">
        <v>19</v>
      </c>
      <c r="K22">
        <v>4</v>
      </c>
      <c r="L22">
        <v>4</v>
      </c>
      <c r="M22">
        <v>2</v>
      </c>
      <c r="N22" t="s">
        <v>451</v>
      </c>
      <c r="O22" t="s">
        <v>40</v>
      </c>
      <c r="P22" s="5" t="s">
        <v>192</v>
      </c>
    </row>
    <row r="23" spans="1:16" x14ac:dyDescent="0.25">
      <c r="A23" t="s">
        <v>287</v>
      </c>
      <c r="B23" t="s">
        <v>288</v>
      </c>
      <c r="C23" t="s">
        <v>289</v>
      </c>
      <c r="D23">
        <v>2151</v>
      </c>
      <c r="E23" t="s">
        <v>38</v>
      </c>
      <c r="F23" t="s">
        <v>290</v>
      </c>
      <c r="G23" t="s">
        <v>291</v>
      </c>
      <c r="H23" t="s">
        <v>401</v>
      </c>
      <c r="I23" t="s">
        <v>20</v>
      </c>
      <c r="J23">
        <v>14</v>
      </c>
      <c r="K23">
        <v>5</v>
      </c>
      <c r="L23">
        <v>2</v>
      </c>
      <c r="M23">
        <v>3</v>
      </c>
      <c r="N23" t="s">
        <v>22</v>
      </c>
      <c r="O23" t="s">
        <v>23</v>
      </c>
      <c r="P23" s="5" t="s">
        <v>292</v>
      </c>
    </row>
    <row r="24" spans="1:16" x14ac:dyDescent="0.25">
      <c r="A24" t="s">
        <v>293</v>
      </c>
      <c r="B24" t="s">
        <v>294</v>
      </c>
      <c r="C24" t="s">
        <v>240</v>
      </c>
      <c r="D24">
        <v>2142</v>
      </c>
      <c r="E24" t="s">
        <v>38</v>
      </c>
      <c r="F24" t="s">
        <v>295</v>
      </c>
      <c r="G24" t="s">
        <v>296</v>
      </c>
      <c r="H24" t="s">
        <v>401</v>
      </c>
      <c r="I24" t="s">
        <v>20</v>
      </c>
      <c r="J24">
        <v>21</v>
      </c>
      <c r="K24">
        <v>6</v>
      </c>
      <c r="L24">
        <v>5</v>
      </c>
      <c r="M24">
        <v>2</v>
      </c>
      <c r="N24" t="s">
        <v>22</v>
      </c>
      <c r="O24" t="s">
        <v>23</v>
      </c>
      <c r="P24" s="5" t="s">
        <v>292</v>
      </c>
    </row>
    <row r="25" spans="1:16" x14ac:dyDescent="0.25">
      <c r="A25" t="s">
        <v>297</v>
      </c>
      <c r="B25" t="s">
        <v>298</v>
      </c>
      <c r="C25" t="s">
        <v>240</v>
      </c>
      <c r="D25">
        <v>2142</v>
      </c>
      <c r="E25" t="s">
        <v>38</v>
      </c>
      <c r="F25" t="s">
        <v>299</v>
      </c>
      <c r="G25" t="s">
        <v>232</v>
      </c>
      <c r="H25" t="s">
        <v>401</v>
      </c>
      <c r="I25" t="s">
        <v>20</v>
      </c>
      <c r="J25">
        <v>12</v>
      </c>
      <c r="K25">
        <v>6</v>
      </c>
      <c r="L25">
        <v>3</v>
      </c>
      <c r="M25">
        <v>4</v>
      </c>
      <c r="N25" t="s">
        <v>22</v>
      </c>
      <c r="O25" t="s">
        <v>23</v>
      </c>
      <c r="P25" s="5" t="s">
        <v>300</v>
      </c>
    </row>
    <row r="26" spans="1:16" x14ac:dyDescent="0.25">
      <c r="A26" t="s">
        <v>301</v>
      </c>
      <c r="B26" t="s">
        <v>302</v>
      </c>
      <c r="C26" t="s">
        <v>224</v>
      </c>
      <c r="D26">
        <v>2117</v>
      </c>
      <c r="E26" t="s">
        <v>38</v>
      </c>
      <c r="F26" t="s">
        <v>303</v>
      </c>
      <c r="G26" t="s">
        <v>304</v>
      </c>
      <c r="H26" t="s">
        <v>401</v>
      </c>
      <c r="I26" t="s">
        <v>20</v>
      </c>
      <c r="J26">
        <v>20</v>
      </c>
      <c r="K26">
        <v>3</v>
      </c>
      <c r="L26">
        <v>1</v>
      </c>
      <c r="M26">
        <v>2</v>
      </c>
      <c r="N26" t="s">
        <v>438</v>
      </c>
      <c r="O26" t="s">
        <v>40</v>
      </c>
      <c r="P26" s="5" t="s">
        <v>452</v>
      </c>
    </row>
    <row r="27" spans="1:16" x14ac:dyDescent="0.25">
      <c r="A27" t="s">
        <v>305</v>
      </c>
      <c r="B27" t="s">
        <v>306</v>
      </c>
      <c r="C27" t="s">
        <v>307</v>
      </c>
      <c r="D27">
        <v>2117</v>
      </c>
      <c r="E27" t="s">
        <v>38</v>
      </c>
      <c r="F27" t="s">
        <v>308</v>
      </c>
      <c r="G27" t="s">
        <v>309</v>
      </c>
      <c r="H27" t="s">
        <v>401</v>
      </c>
      <c r="I27" t="s">
        <v>20</v>
      </c>
      <c r="J27">
        <v>18</v>
      </c>
      <c r="K27">
        <v>3</v>
      </c>
      <c r="L27">
        <v>2</v>
      </c>
      <c r="M27">
        <v>3</v>
      </c>
      <c r="N27" t="s">
        <v>22</v>
      </c>
      <c r="O27" t="s">
        <v>23</v>
      </c>
      <c r="P27" s="5" t="s">
        <v>310</v>
      </c>
    </row>
    <row r="28" spans="1:16" x14ac:dyDescent="0.25">
      <c r="A28" t="s">
        <v>311</v>
      </c>
      <c r="B28" t="s">
        <v>312</v>
      </c>
      <c r="C28" t="s">
        <v>230</v>
      </c>
      <c r="D28">
        <v>2161</v>
      </c>
      <c r="E28" t="s">
        <v>38</v>
      </c>
      <c r="F28" t="s">
        <v>313</v>
      </c>
      <c r="G28" t="s">
        <v>314</v>
      </c>
      <c r="H28" t="s">
        <v>401</v>
      </c>
      <c r="I28" t="s">
        <v>20</v>
      </c>
      <c r="J28">
        <v>14</v>
      </c>
      <c r="K28">
        <v>7</v>
      </c>
      <c r="L28">
        <v>4</v>
      </c>
      <c r="M28">
        <v>3</v>
      </c>
      <c r="N28" t="s">
        <v>22</v>
      </c>
      <c r="O28" t="s">
        <v>23</v>
      </c>
      <c r="P28" s="5" t="s">
        <v>315</v>
      </c>
    </row>
    <row r="29" spans="1:16" x14ac:dyDescent="0.25">
      <c r="A29" t="s">
        <v>316</v>
      </c>
      <c r="B29" t="s">
        <v>317</v>
      </c>
      <c r="C29" t="s">
        <v>230</v>
      </c>
      <c r="D29">
        <v>2161</v>
      </c>
      <c r="E29" t="s">
        <v>38</v>
      </c>
      <c r="F29" t="s">
        <v>318</v>
      </c>
      <c r="G29" t="s">
        <v>232</v>
      </c>
      <c r="H29" t="s">
        <v>401</v>
      </c>
      <c r="I29" t="s">
        <v>20</v>
      </c>
      <c r="J29">
        <v>9</v>
      </c>
      <c r="K29">
        <v>6</v>
      </c>
      <c r="L29">
        <v>4</v>
      </c>
      <c r="M29">
        <v>3</v>
      </c>
      <c r="N29" t="s">
        <v>22</v>
      </c>
      <c r="O29" t="s">
        <v>23</v>
      </c>
      <c r="P29" s="5" t="s">
        <v>315</v>
      </c>
    </row>
    <row r="30" spans="1:16" x14ac:dyDescent="0.25">
      <c r="A30" t="s">
        <v>319</v>
      </c>
      <c r="B30" t="s">
        <v>173</v>
      </c>
      <c r="C30" t="s">
        <v>200</v>
      </c>
      <c r="D30">
        <v>2121</v>
      </c>
      <c r="E30" t="s">
        <v>18</v>
      </c>
      <c r="F30" t="s">
        <v>320</v>
      </c>
      <c r="G30" t="s">
        <v>321</v>
      </c>
      <c r="H30" t="s">
        <v>401</v>
      </c>
      <c r="I30" t="s">
        <v>20</v>
      </c>
      <c r="J30">
        <v>35</v>
      </c>
      <c r="K30">
        <v>3</v>
      </c>
      <c r="L30">
        <v>3</v>
      </c>
      <c r="M30">
        <v>2</v>
      </c>
      <c r="N30" t="s">
        <v>22</v>
      </c>
      <c r="O30" t="s">
        <v>23</v>
      </c>
      <c r="P30" s="5" t="s">
        <v>322</v>
      </c>
    </row>
    <row r="31" spans="1:16" x14ac:dyDescent="0.25">
      <c r="A31" t="s">
        <v>323</v>
      </c>
      <c r="B31" t="s">
        <v>324</v>
      </c>
      <c r="C31" t="s">
        <v>325</v>
      </c>
      <c r="D31">
        <v>2142</v>
      </c>
      <c r="E31" t="s">
        <v>38</v>
      </c>
      <c r="F31" t="s">
        <v>326</v>
      </c>
      <c r="G31" t="s">
        <v>327</v>
      </c>
      <c r="H31" t="s">
        <v>401</v>
      </c>
      <c r="I31" t="s">
        <v>20</v>
      </c>
      <c r="J31">
        <v>6</v>
      </c>
      <c r="K31">
        <v>3</v>
      </c>
      <c r="L31">
        <v>1</v>
      </c>
      <c r="M31">
        <v>1</v>
      </c>
      <c r="N31" t="s">
        <v>22</v>
      </c>
      <c r="O31" t="s">
        <v>23</v>
      </c>
      <c r="P31" s="5" t="s">
        <v>322</v>
      </c>
    </row>
    <row r="32" spans="1:16" x14ac:dyDescent="0.25">
      <c r="A32" t="s">
        <v>328</v>
      </c>
      <c r="B32" t="s">
        <v>329</v>
      </c>
      <c r="C32" t="s">
        <v>210</v>
      </c>
      <c r="D32">
        <v>2152</v>
      </c>
      <c r="E32" t="s">
        <v>38</v>
      </c>
      <c r="F32" t="s">
        <v>330</v>
      </c>
      <c r="G32" t="s">
        <v>331</v>
      </c>
      <c r="H32" t="s">
        <v>401</v>
      </c>
      <c r="I32" t="s">
        <v>20</v>
      </c>
      <c r="J32">
        <v>30</v>
      </c>
      <c r="K32">
        <v>5</v>
      </c>
      <c r="L32">
        <v>3</v>
      </c>
      <c r="M32">
        <v>2</v>
      </c>
      <c r="N32" t="s">
        <v>22</v>
      </c>
      <c r="O32" t="s">
        <v>23</v>
      </c>
      <c r="P32" s="5" t="s">
        <v>322</v>
      </c>
    </row>
    <row r="33" spans="1:16" x14ac:dyDescent="0.25">
      <c r="A33" t="s">
        <v>332</v>
      </c>
      <c r="B33" t="s">
        <v>333</v>
      </c>
      <c r="C33" t="s">
        <v>334</v>
      </c>
      <c r="D33">
        <v>2117</v>
      </c>
      <c r="E33" t="s">
        <v>38</v>
      </c>
      <c r="F33" t="s">
        <v>335</v>
      </c>
      <c r="G33" t="s">
        <v>336</v>
      </c>
      <c r="H33" t="s">
        <v>401</v>
      </c>
      <c r="I33" t="s">
        <v>20</v>
      </c>
      <c r="J33">
        <v>5</v>
      </c>
      <c r="K33">
        <v>2</v>
      </c>
      <c r="L33">
        <v>1</v>
      </c>
      <c r="M33">
        <v>2</v>
      </c>
      <c r="N33" t="s">
        <v>22</v>
      </c>
      <c r="O33" t="s">
        <v>23</v>
      </c>
      <c r="P33" s="5" t="s">
        <v>337</v>
      </c>
    </row>
    <row r="34" spans="1:16" x14ac:dyDescent="0.25">
      <c r="A34" t="s">
        <v>338</v>
      </c>
      <c r="B34" t="s">
        <v>339</v>
      </c>
      <c r="C34" t="s">
        <v>230</v>
      </c>
      <c r="D34">
        <v>2161</v>
      </c>
      <c r="E34" t="s">
        <v>38</v>
      </c>
      <c r="F34" t="s">
        <v>340</v>
      </c>
      <c r="G34" t="s">
        <v>232</v>
      </c>
      <c r="H34" t="s">
        <v>401</v>
      </c>
      <c r="I34" t="s">
        <v>20</v>
      </c>
      <c r="J34">
        <v>10</v>
      </c>
      <c r="K34">
        <v>5</v>
      </c>
      <c r="L34">
        <v>3</v>
      </c>
      <c r="M34">
        <v>2</v>
      </c>
      <c r="N34" t="s">
        <v>22</v>
      </c>
      <c r="O34" t="s">
        <v>23</v>
      </c>
      <c r="P34" s="5" t="s">
        <v>338</v>
      </c>
    </row>
    <row r="35" spans="1:16" x14ac:dyDescent="0.25">
      <c r="A35" t="s">
        <v>338</v>
      </c>
      <c r="B35" t="s">
        <v>341</v>
      </c>
      <c r="C35" t="s">
        <v>230</v>
      </c>
      <c r="D35">
        <v>2161</v>
      </c>
      <c r="E35" t="s">
        <v>38</v>
      </c>
      <c r="F35" t="s">
        <v>342</v>
      </c>
      <c r="G35" t="s">
        <v>343</v>
      </c>
      <c r="H35" t="s">
        <v>401</v>
      </c>
      <c r="I35" t="s">
        <v>20</v>
      </c>
      <c r="J35">
        <v>12</v>
      </c>
      <c r="K35">
        <v>5</v>
      </c>
      <c r="L35">
        <v>3</v>
      </c>
      <c r="M35">
        <v>4</v>
      </c>
      <c r="N35" t="s">
        <v>22</v>
      </c>
      <c r="O35" t="s">
        <v>23</v>
      </c>
      <c r="P35" s="5" t="s">
        <v>338</v>
      </c>
    </row>
    <row r="36" spans="1:16" x14ac:dyDescent="0.25">
      <c r="A36" t="s">
        <v>344</v>
      </c>
      <c r="B36" t="s">
        <v>345</v>
      </c>
      <c r="C36" t="s">
        <v>346</v>
      </c>
      <c r="D36">
        <v>2146</v>
      </c>
      <c r="E36" t="s">
        <v>38</v>
      </c>
      <c r="F36" t="s">
        <v>347</v>
      </c>
      <c r="G36" t="s">
        <v>232</v>
      </c>
      <c r="H36" t="s">
        <v>401</v>
      </c>
      <c r="I36" t="s">
        <v>20</v>
      </c>
      <c r="J36">
        <v>9</v>
      </c>
      <c r="K36">
        <v>5</v>
      </c>
      <c r="L36">
        <v>3</v>
      </c>
      <c r="M36">
        <v>2</v>
      </c>
      <c r="N36" t="s">
        <v>22</v>
      </c>
      <c r="O36" t="s">
        <v>23</v>
      </c>
      <c r="P36" s="5" t="s">
        <v>344</v>
      </c>
    </row>
    <row r="37" spans="1:16" x14ac:dyDescent="0.25">
      <c r="A37" t="s">
        <v>348</v>
      </c>
      <c r="B37" t="s">
        <v>349</v>
      </c>
      <c r="C37" t="s">
        <v>346</v>
      </c>
      <c r="D37">
        <v>2146</v>
      </c>
      <c r="E37" t="s">
        <v>38</v>
      </c>
      <c r="F37" t="s">
        <v>350</v>
      </c>
      <c r="G37" t="s">
        <v>351</v>
      </c>
      <c r="H37" t="s">
        <v>401</v>
      </c>
      <c r="I37" t="s">
        <v>20</v>
      </c>
      <c r="J37">
        <v>7</v>
      </c>
      <c r="K37">
        <v>3</v>
      </c>
      <c r="L37">
        <v>1</v>
      </c>
      <c r="M37">
        <v>3</v>
      </c>
      <c r="N37" t="s">
        <v>22</v>
      </c>
      <c r="O37" t="s">
        <v>23</v>
      </c>
      <c r="P37" s="5" t="s">
        <v>352</v>
      </c>
    </row>
    <row r="38" spans="1:16" x14ac:dyDescent="0.25">
      <c r="A38" t="s">
        <v>353</v>
      </c>
      <c r="B38" t="s">
        <v>354</v>
      </c>
      <c r="C38" t="s">
        <v>240</v>
      </c>
      <c r="D38">
        <v>2142</v>
      </c>
      <c r="E38" t="s">
        <v>38</v>
      </c>
      <c r="F38" t="s">
        <v>355</v>
      </c>
      <c r="G38" t="s">
        <v>356</v>
      </c>
      <c r="H38" t="s">
        <v>401</v>
      </c>
      <c r="I38" t="s">
        <v>20</v>
      </c>
      <c r="J38">
        <v>8</v>
      </c>
      <c r="K38">
        <v>4</v>
      </c>
      <c r="L38">
        <v>4</v>
      </c>
      <c r="M38">
        <v>2</v>
      </c>
      <c r="N38" t="s">
        <v>22</v>
      </c>
      <c r="O38" t="s">
        <v>23</v>
      </c>
      <c r="P38" s="5" t="s">
        <v>357</v>
      </c>
    </row>
    <row r="39" spans="1:16" x14ac:dyDescent="0.25">
      <c r="A39" t="s">
        <v>358</v>
      </c>
      <c r="B39" t="s">
        <v>359</v>
      </c>
      <c r="C39" t="s">
        <v>216</v>
      </c>
      <c r="D39">
        <v>2150</v>
      </c>
      <c r="E39" t="s">
        <v>169</v>
      </c>
      <c r="F39" t="s">
        <v>360</v>
      </c>
      <c r="G39" t="s">
        <v>361</v>
      </c>
      <c r="H39" t="s">
        <v>401</v>
      </c>
      <c r="I39" t="s">
        <v>20</v>
      </c>
      <c r="J39">
        <v>14</v>
      </c>
      <c r="K39">
        <v>3</v>
      </c>
      <c r="L39">
        <v>3</v>
      </c>
      <c r="M39">
        <v>1</v>
      </c>
      <c r="N39" t="s">
        <v>22</v>
      </c>
      <c r="O39" t="s">
        <v>23</v>
      </c>
      <c r="P39" s="5" t="s">
        <v>362</v>
      </c>
    </row>
    <row r="40" spans="1:16" x14ac:dyDescent="0.25">
      <c r="A40" t="s">
        <v>363</v>
      </c>
      <c r="B40" t="s">
        <v>364</v>
      </c>
      <c r="C40" t="s">
        <v>230</v>
      </c>
      <c r="D40">
        <v>2161</v>
      </c>
      <c r="E40" t="s">
        <v>38</v>
      </c>
      <c r="F40" t="s">
        <v>365</v>
      </c>
      <c r="G40" t="s">
        <v>366</v>
      </c>
      <c r="H40" t="s">
        <v>401</v>
      </c>
      <c r="I40" t="s">
        <v>20</v>
      </c>
      <c r="J40">
        <v>21</v>
      </c>
      <c r="K40">
        <v>3</v>
      </c>
      <c r="L40">
        <v>1</v>
      </c>
      <c r="M40">
        <v>1</v>
      </c>
      <c r="N40" t="s">
        <v>22</v>
      </c>
      <c r="O40" t="s">
        <v>23</v>
      </c>
      <c r="P40" s="5" t="s">
        <v>362</v>
      </c>
    </row>
    <row r="41" spans="1:16" x14ac:dyDescent="0.25">
      <c r="A41" t="s">
        <v>367</v>
      </c>
      <c r="B41" t="s">
        <v>368</v>
      </c>
      <c r="C41" t="s">
        <v>289</v>
      </c>
      <c r="D41">
        <v>2151</v>
      </c>
      <c r="E41" t="s">
        <v>169</v>
      </c>
      <c r="F41" t="s">
        <v>369</v>
      </c>
      <c r="G41" t="s">
        <v>366</v>
      </c>
      <c r="H41" t="s">
        <v>401</v>
      </c>
      <c r="I41" t="s">
        <v>20</v>
      </c>
      <c r="J41">
        <v>20</v>
      </c>
      <c r="K41">
        <v>3</v>
      </c>
      <c r="L41">
        <v>3</v>
      </c>
      <c r="M41">
        <v>2</v>
      </c>
      <c r="N41" t="s">
        <v>22</v>
      </c>
      <c r="O41" t="s">
        <v>23</v>
      </c>
      <c r="P41" s="5" t="s">
        <v>367</v>
      </c>
    </row>
    <row r="42" spans="1:16" x14ac:dyDescent="0.25">
      <c r="A42" t="s">
        <v>370</v>
      </c>
      <c r="B42" t="s">
        <v>173</v>
      </c>
      <c r="C42" t="s">
        <v>200</v>
      </c>
      <c r="D42">
        <v>2121</v>
      </c>
      <c r="E42" t="s">
        <v>18</v>
      </c>
      <c r="F42" t="s">
        <v>320</v>
      </c>
      <c r="G42" t="s">
        <v>321</v>
      </c>
      <c r="H42" t="s">
        <v>401</v>
      </c>
      <c r="I42" t="s">
        <v>20</v>
      </c>
      <c r="J42">
        <v>34</v>
      </c>
      <c r="K42">
        <v>2</v>
      </c>
      <c r="L42">
        <v>2</v>
      </c>
      <c r="M42">
        <v>2</v>
      </c>
      <c r="N42" t="s">
        <v>22</v>
      </c>
      <c r="O42" t="s">
        <v>23</v>
      </c>
      <c r="P42" s="5" t="s">
        <v>371</v>
      </c>
    </row>
    <row r="43" spans="1:16" x14ac:dyDescent="0.25">
      <c r="A43" t="s">
        <v>371</v>
      </c>
      <c r="B43" t="s">
        <v>372</v>
      </c>
      <c r="C43" t="s">
        <v>230</v>
      </c>
      <c r="D43">
        <v>2161</v>
      </c>
      <c r="E43" t="s">
        <v>38</v>
      </c>
      <c r="F43" t="s">
        <v>269</v>
      </c>
      <c r="G43" t="s">
        <v>232</v>
      </c>
      <c r="H43" t="s">
        <v>401</v>
      </c>
      <c r="I43" t="s">
        <v>20</v>
      </c>
      <c r="J43">
        <v>9</v>
      </c>
      <c r="K43">
        <v>4</v>
      </c>
      <c r="L43">
        <v>3</v>
      </c>
      <c r="M43">
        <v>2</v>
      </c>
      <c r="N43" t="s">
        <v>22</v>
      </c>
      <c r="O43" t="s">
        <v>23</v>
      </c>
      <c r="P43" s="5" t="s">
        <v>371</v>
      </c>
    </row>
    <row r="44" spans="1:16" x14ac:dyDescent="0.25">
      <c r="A44" t="s">
        <v>373</v>
      </c>
      <c r="B44" t="s">
        <v>374</v>
      </c>
      <c r="C44" t="s">
        <v>210</v>
      </c>
      <c r="D44">
        <v>2152</v>
      </c>
      <c r="E44" t="s">
        <v>169</v>
      </c>
      <c r="F44" t="s">
        <v>375</v>
      </c>
      <c r="G44" t="s">
        <v>366</v>
      </c>
      <c r="H44" t="s">
        <v>401</v>
      </c>
      <c r="I44" t="s">
        <v>20</v>
      </c>
      <c r="J44">
        <v>28</v>
      </c>
      <c r="K44">
        <v>3</v>
      </c>
      <c r="L44">
        <v>2</v>
      </c>
      <c r="M44">
        <v>2</v>
      </c>
      <c r="N44" t="s">
        <v>22</v>
      </c>
      <c r="O44" t="s">
        <v>23</v>
      </c>
      <c r="P44" s="5" t="s">
        <v>371</v>
      </c>
    </row>
    <row r="45" spans="1:16" x14ac:dyDescent="0.25">
      <c r="A45" t="s">
        <v>376</v>
      </c>
      <c r="B45" t="s">
        <v>377</v>
      </c>
      <c r="C45" t="s">
        <v>200</v>
      </c>
      <c r="D45">
        <v>2121</v>
      </c>
      <c r="E45" t="s">
        <v>18</v>
      </c>
      <c r="F45" t="s">
        <v>378</v>
      </c>
      <c r="G45" t="s">
        <v>379</v>
      </c>
      <c r="H45" t="s">
        <v>401</v>
      </c>
      <c r="I45" t="s">
        <v>20</v>
      </c>
      <c r="J45">
        <v>13</v>
      </c>
      <c r="K45">
        <v>2</v>
      </c>
      <c r="L45">
        <v>2</v>
      </c>
      <c r="M45">
        <v>1</v>
      </c>
      <c r="N45" t="s">
        <v>22</v>
      </c>
      <c r="O45" t="s">
        <v>23</v>
      </c>
      <c r="P45" s="5" t="s">
        <v>371</v>
      </c>
    </row>
    <row r="46" spans="1:16" x14ac:dyDescent="0.25">
      <c r="A46" t="s">
        <v>380</v>
      </c>
      <c r="B46" t="s">
        <v>381</v>
      </c>
      <c r="C46" t="s">
        <v>200</v>
      </c>
      <c r="D46">
        <v>2121</v>
      </c>
      <c r="E46" t="s">
        <v>18</v>
      </c>
      <c r="F46" t="s">
        <v>382</v>
      </c>
      <c r="G46" t="s">
        <v>383</v>
      </c>
      <c r="H46" t="s">
        <v>401</v>
      </c>
      <c r="I46" t="s">
        <v>20</v>
      </c>
      <c r="J46">
        <v>13</v>
      </c>
      <c r="K46">
        <v>3</v>
      </c>
      <c r="L46">
        <v>2</v>
      </c>
      <c r="M46">
        <v>2</v>
      </c>
      <c r="N46" t="s">
        <v>437</v>
      </c>
      <c r="O46" t="s">
        <v>40</v>
      </c>
      <c r="P46" s="5" t="s">
        <v>384</v>
      </c>
    </row>
    <row r="47" spans="1:16" x14ac:dyDescent="0.25">
      <c r="A47" t="s">
        <v>385</v>
      </c>
      <c r="B47" t="s">
        <v>386</v>
      </c>
      <c r="C47" t="s">
        <v>216</v>
      </c>
      <c r="D47">
        <v>2150</v>
      </c>
      <c r="E47" t="s">
        <v>18</v>
      </c>
      <c r="F47" t="s">
        <v>387</v>
      </c>
      <c r="G47" t="s">
        <v>388</v>
      </c>
      <c r="H47" t="s">
        <v>72</v>
      </c>
      <c r="I47" t="s">
        <v>20</v>
      </c>
      <c r="J47">
        <v>6</v>
      </c>
      <c r="K47">
        <v>3</v>
      </c>
      <c r="L47">
        <v>2</v>
      </c>
      <c r="M47">
        <v>1</v>
      </c>
      <c r="N47" t="s">
        <v>22</v>
      </c>
      <c r="O47" t="s">
        <v>23</v>
      </c>
      <c r="P47" s="5" t="s">
        <v>385</v>
      </c>
    </row>
    <row r="48" spans="1:16" x14ac:dyDescent="0.25">
      <c r="A48" t="s">
        <v>389</v>
      </c>
      <c r="B48" t="s">
        <v>390</v>
      </c>
      <c r="C48" t="s">
        <v>263</v>
      </c>
      <c r="D48">
        <v>2115</v>
      </c>
      <c r="E48" t="s">
        <v>169</v>
      </c>
      <c r="F48" t="s">
        <v>391</v>
      </c>
      <c r="G48" t="s">
        <v>392</v>
      </c>
      <c r="H48" t="s">
        <v>72</v>
      </c>
      <c r="I48" t="s">
        <v>20</v>
      </c>
      <c r="J48">
        <v>9</v>
      </c>
      <c r="K48">
        <v>3</v>
      </c>
      <c r="L48">
        <v>2</v>
      </c>
      <c r="M48">
        <v>1</v>
      </c>
      <c r="N48" t="s">
        <v>22</v>
      </c>
      <c r="O48" t="s">
        <v>23</v>
      </c>
      <c r="P48" s="5" t="s">
        <v>393</v>
      </c>
    </row>
    <row r="49" spans="1:16" x14ac:dyDescent="0.25">
      <c r="A49" t="s">
        <v>453</v>
      </c>
      <c r="B49" t="s">
        <v>454</v>
      </c>
      <c r="C49" t="s">
        <v>263</v>
      </c>
      <c r="D49">
        <v>2115</v>
      </c>
      <c r="E49" t="s">
        <v>169</v>
      </c>
      <c r="F49" t="s">
        <v>455</v>
      </c>
      <c r="G49" t="s">
        <v>197</v>
      </c>
      <c r="H49" t="s">
        <v>401</v>
      </c>
      <c r="I49" t="s">
        <v>20</v>
      </c>
      <c r="J49">
        <v>20</v>
      </c>
      <c r="K49">
        <v>3</v>
      </c>
      <c r="L49">
        <v>2</v>
      </c>
      <c r="M49">
        <v>2</v>
      </c>
      <c r="N49" t="s">
        <v>22</v>
      </c>
      <c r="O49" t="s">
        <v>23</v>
      </c>
      <c r="P49" s="5" t="s">
        <v>453</v>
      </c>
    </row>
    <row r="50" spans="1:16" x14ac:dyDescent="0.25">
      <c r="A50" t="s">
        <v>394</v>
      </c>
      <c r="B50" t="s">
        <v>395</v>
      </c>
      <c r="C50" t="s">
        <v>230</v>
      </c>
      <c r="D50">
        <v>2161</v>
      </c>
      <c r="E50" t="s">
        <v>38</v>
      </c>
      <c r="F50" t="s">
        <v>347</v>
      </c>
      <c r="G50" t="s">
        <v>232</v>
      </c>
      <c r="H50" t="s">
        <v>277</v>
      </c>
      <c r="I50" t="s">
        <v>20</v>
      </c>
      <c r="J50">
        <v>10</v>
      </c>
      <c r="K50">
        <v>5</v>
      </c>
      <c r="L50">
        <v>2</v>
      </c>
      <c r="M50">
        <v>2</v>
      </c>
      <c r="N50" t="s">
        <v>22</v>
      </c>
      <c r="O50" t="s">
        <v>23</v>
      </c>
      <c r="P50" s="5" t="s">
        <v>394</v>
      </c>
    </row>
    <row r="51" spans="1:16" x14ac:dyDescent="0.25">
      <c r="A51" t="s">
        <v>396</v>
      </c>
      <c r="B51" t="s">
        <v>397</v>
      </c>
      <c r="C51" t="s">
        <v>230</v>
      </c>
      <c r="D51">
        <v>2161</v>
      </c>
      <c r="E51" t="s">
        <v>38</v>
      </c>
      <c r="F51" t="s">
        <v>398</v>
      </c>
      <c r="G51" t="s">
        <v>399</v>
      </c>
      <c r="H51" t="s">
        <v>401</v>
      </c>
      <c r="I51" t="s">
        <v>20</v>
      </c>
      <c r="J51">
        <v>12</v>
      </c>
      <c r="K51">
        <v>5</v>
      </c>
      <c r="L51">
        <v>2</v>
      </c>
      <c r="M51">
        <v>2</v>
      </c>
      <c r="N51" t="s">
        <v>22</v>
      </c>
      <c r="O51" t="s">
        <v>23</v>
      </c>
      <c r="P51" s="5" t="s">
        <v>394</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FEAB3-FA74-44D6-9233-251DE25E6E34}">
  <dimension ref="A1:AD97"/>
  <sheetViews>
    <sheetView topLeftCell="U1" workbookViewId="0">
      <selection activeCell="AB2" sqref="AB2:AB8"/>
    </sheetView>
  </sheetViews>
  <sheetFormatPr defaultRowHeight="15" x14ac:dyDescent="0.25"/>
  <cols>
    <col min="1" max="1" width="41.140625" bestFit="1" customWidth="1"/>
    <col min="2" max="2" width="26.7109375" bestFit="1" customWidth="1"/>
    <col min="3" max="3" width="16.5703125" bestFit="1" customWidth="1"/>
    <col min="4" max="4" width="13.7109375" bestFit="1" customWidth="1"/>
    <col min="5" max="5" width="11.140625" bestFit="1" customWidth="1"/>
    <col min="6" max="6" width="53.85546875" bestFit="1" customWidth="1"/>
    <col min="7" max="7" width="12.28515625" bestFit="1" customWidth="1"/>
    <col min="8" max="8" width="11.42578125" bestFit="1" customWidth="1"/>
    <col min="9" max="9" width="12" bestFit="1" customWidth="1"/>
    <col min="10" max="10" width="8" bestFit="1" customWidth="1"/>
    <col min="11" max="11" width="9.85546875" bestFit="1" customWidth="1"/>
    <col min="12" max="12" width="43.140625" bestFit="1" customWidth="1"/>
    <col min="13" max="13" width="10.7109375" bestFit="1" customWidth="1"/>
    <col min="14" max="14" width="20" bestFit="1" customWidth="1"/>
    <col min="15" max="15" width="14" bestFit="1" customWidth="1"/>
    <col min="16" max="16" width="13.140625" bestFit="1" customWidth="1"/>
    <col min="17" max="17" width="13.42578125" bestFit="1" customWidth="1"/>
    <col min="18" max="18" width="18.85546875" bestFit="1" customWidth="1"/>
    <col min="19" max="20" width="14" bestFit="1" customWidth="1"/>
    <col min="28" max="28" width="14.28515625" bestFit="1" customWidth="1"/>
    <col min="30" max="30" width="11.140625" bestFit="1" customWidth="1"/>
  </cols>
  <sheetData>
    <row r="1" spans="1:30" x14ac:dyDescent="0.25">
      <c r="A1" t="s">
        <v>0</v>
      </c>
      <c r="B1" t="s">
        <v>1</v>
      </c>
      <c r="C1" t="s">
        <v>2</v>
      </c>
      <c r="D1" t="s">
        <v>421</v>
      </c>
      <c r="E1" t="s">
        <v>4</v>
      </c>
      <c r="F1" t="s">
        <v>5</v>
      </c>
      <c r="G1" t="s">
        <v>6</v>
      </c>
      <c r="H1" t="s">
        <v>7</v>
      </c>
      <c r="I1" t="s">
        <v>8</v>
      </c>
      <c r="J1" t="s">
        <v>400</v>
      </c>
      <c r="K1" t="s">
        <v>10</v>
      </c>
      <c r="L1" t="s">
        <v>11</v>
      </c>
      <c r="M1" t="s">
        <v>12</v>
      </c>
      <c r="N1" t="s">
        <v>422</v>
      </c>
      <c r="O1" t="s">
        <v>14</v>
      </c>
      <c r="P1" t="s">
        <v>423</v>
      </c>
      <c r="Q1" t="s">
        <v>468</v>
      </c>
    </row>
    <row r="2" spans="1:30" x14ac:dyDescent="0.25">
      <c r="A2" t="s">
        <v>103</v>
      </c>
      <c r="B2" t="s">
        <v>104</v>
      </c>
      <c r="C2" t="s">
        <v>105</v>
      </c>
      <c r="D2">
        <v>2223</v>
      </c>
      <c r="E2" t="s">
        <v>106</v>
      </c>
      <c r="F2" t="s">
        <v>56</v>
      </c>
      <c r="G2" t="s">
        <v>401</v>
      </c>
      <c r="H2" t="s">
        <v>456</v>
      </c>
      <c r="I2" t="s">
        <v>457</v>
      </c>
      <c r="J2" t="s">
        <v>20</v>
      </c>
      <c r="K2" t="s">
        <v>458</v>
      </c>
      <c r="L2" t="s">
        <v>107</v>
      </c>
      <c r="M2">
        <v>12</v>
      </c>
      <c r="N2" t="s">
        <v>22</v>
      </c>
      <c r="O2" t="s">
        <v>424</v>
      </c>
      <c r="P2" s="5">
        <v>1050000</v>
      </c>
      <c r="Q2" t="s">
        <v>469</v>
      </c>
      <c r="AA2" t="str" cm="1">
        <f t="array" ref="AA2:AA8">_xlfn.UNIQUE(Combined[Type])</f>
        <v>Villa</v>
      </c>
      <c r="AB2" s="7" cm="1">
        <f t="array" ref="AB2">MEDIAN(IF(Combined[Type] = AA2, Combined[PriceClean]))</f>
        <v>1050000</v>
      </c>
      <c r="AC2">
        <f>COUNTIF(Combined[Type], AA2)</f>
        <v>1</v>
      </c>
      <c r="AD2" s="6" cm="1">
        <f t="array" ref="AD2">IFERROR(MEDIAN(IF(Combined[Type]=AA2,Combined[PriceClean]/Combined[Bedroom])),"N/A")</f>
        <v>350000</v>
      </c>
    </row>
    <row r="3" spans="1:30" x14ac:dyDescent="0.25">
      <c r="A3" t="s">
        <v>394</v>
      </c>
      <c r="B3" t="s">
        <v>395</v>
      </c>
      <c r="C3" t="s">
        <v>230</v>
      </c>
      <c r="D3">
        <v>2161</v>
      </c>
      <c r="E3" t="s">
        <v>38</v>
      </c>
      <c r="F3" t="s">
        <v>232</v>
      </c>
      <c r="G3" t="s">
        <v>277</v>
      </c>
      <c r="H3" t="s">
        <v>459</v>
      </c>
      <c r="I3" t="s">
        <v>457</v>
      </c>
      <c r="J3" t="s">
        <v>20</v>
      </c>
      <c r="K3" t="s">
        <v>457</v>
      </c>
      <c r="L3" t="s">
        <v>347</v>
      </c>
      <c r="M3">
        <v>10</v>
      </c>
      <c r="N3" t="s">
        <v>22</v>
      </c>
      <c r="O3" t="s">
        <v>424</v>
      </c>
      <c r="P3" s="5">
        <v>1080000</v>
      </c>
      <c r="Q3" t="s">
        <v>469</v>
      </c>
      <c r="AA3" t="str">
        <v>House</v>
      </c>
      <c r="AB3" s="7" cm="1">
        <f t="array" ref="AB3">VALUE(MEDIAN(IF(Combined[Type] = AA3, Combined[PriceClean])))</f>
        <v>1820000</v>
      </c>
      <c r="AC3">
        <f>COUNTIF(Combined[Type], AA3)</f>
        <v>49</v>
      </c>
      <c r="AD3" s="6" cm="1">
        <f t="array" ref="AD3">IFERROR(MEDIAN(IF(Combined[Type]=AA3,Combined[PriceClean]/Combined[Bedroom])),"N/A")</f>
        <v>465000</v>
      </c>
    </row>
    <row r="4" spans="1:30" x14ac:dyDescent="0.25">
      <c r="A4" t="s">
        <v>396</v>
      </c>
      <c r="B4" t="s">
        <v>397</v>
      </c>
      <c r="C4" t="s">
        <v>230</v>
      </c>
      <c r="D4">
        <v>2161</v>
      </c>
      <c r="E4" t="s">
        <v>38</v>
      </c>
      <c r="F4" t="s">
        <v>399</v>
      </c>
      <c r="G4" t="s">
        <v>401</v>
      </c>
      <c r="H4" t="s">
        <v>459</v>
      </c>
      <c r="I4" t="s">
        <v>457</v>
      </c>
      <c r="J4" t="s">
        <v>20</v>
      </c>
      <c r="K4" t="s">
        <v>457</v>
      </c>
      <c r="L4" t="s">
        <v>398</v>
      </c>
      <c r="M4">
        <v>12</v>
      </c>
      <c r="N4" t="s">
        <v>22</v>
      </c>
      <c r="O4" t="s">
        <v>424</v>
      </c>
      <c r="P4" s="5">
        <v>1080000</v>
      </c>
      <c r="Q4" t="s">
        <v>469</v>
      </c>
      <c r="AA4" t="str">
        <v>Apartment</v>
      </c>
      <c r="AB4" s="7" cm="1">
        <f t="array" ref="AB4">MEDIAN(IF(Combined[Type] = AA4, Combined[PriceClean]))</f>
        <v>895000</v>
      </c>
      <c r="AC4">
        <f>COUNTIF(Combined[Type], AA4)</f>
        <v>37</v>
      </c>
      <c r="AD4" s="6" cm="1">
        <f t="array" ref="AD4">IFERROR(MEDIAN(IF(Combined[Type]=AA4,Combined[PriceClean]/Combined[Bedroom])),"N/A")</f>
        <v>447500</v>
      </c>
    </row>
    <row r="5" spans="1:30" x14ac:dyDescent="0.25">
      <c r="A5" t="s">
        <v>188</v>
      </c>
      <c r="B5" t="s">
        <v>189</v>
      </c>
      <c r="C5" t="s">
        <v>17</v>
      </c>
      <c r="D5">
        <v>2220</v>
      </c>
      <c r="E5" t="s">
        <v>18</v>
      </c>
      <c r="F5" t="s">
        <v>190</v>
      </c>
      <c r="G5" t="s">
        <v>401</v>
      </c>
      <c r="H5" t="s">
        <v>456</v>
      </c>
      <c r="I5" t="s">
        <v>457</v>
      </c>
      <c r="J5" t="s">
        <v>20</v>
      </c>
      <c r="K5" t="s">
        <v>457</v>
      </c>
      <c r="L5" t="s">
        <v>191</v>
      </c>
      <c r="M5">
        <v>13</v>
      </c>
      <c r="N5" t="s">
        <v>22</v>
      </c>
      <c r="O5" t="s">
        <v>424</v>
      </c>
      <c r="P5" s="5">
        <v>1090000</v>
      </c>
      <c r="Q5" t="s">
        <v>469</v>
      </c>
      <c r="AA5" t="str">
        <v>Townhouse</v>
      </c>
      <c r="AB5" s="7" cm="1">
        <f t="array" ref="AB5">MEDIAN(IF(Combined[Type] = AA5, Combined[PriceClean]))</f>
        <v>1295000</v>
      </c>
      <c r="AC5">
        <f>COUNTIF(Combined[Type], AA5)</f>
        <v>6</v>
      </c>
      <c r="AD5" s="6" cm="1">
        <f t="array" ref="AD5">IFERROR(MEDIAN(IF(Combined[Type]=AA5,Combined[PriceClean]/Combined[Bedroom])),"N/A")</f>
        <v>391666.66666666663</v>
      </c>
    </row>
    <row r="6" spans="1:30" x14ac:dyDescent="0.25">
      <c r="A6" t="s">
        <v>167</v>
      </c>
      <c r="B6" t="s">
        <v>168</v>
      </c>
      <c r="C6" t="s">
        <v>81</v>
      </c>
      <c r="D6">
        <v>2209</v>
      </c>
      <c r="E6" t="s">
        <v>169</v>
      </c>
      <c r="F6" t="s">
        <v>170</v>
      </c>
      <c r="G6" t="s">
        <v>401</v>
      </c>
      <c r="H6" t="s">
        <v>456</v>
      </c>
      <c r="I6" t="s">
        <v>457</v>
      </c>
      <c r="J6" t="s">
        <v>20</v>
      </c>
      <c r="K6" t="s">
        <v>458</v>
      </c>
      <c r="L6" t="s">
        <v>171</v>
      </c>
      <c r="M6">
        <v>11</v>
      </c>
      <c r="N6" t="s">
        <v>22</v>
      </c>
      <c r="O6" t="s">
        <v>424</v>
      </c>
      <c r="P6" s="5">
        <v>1090000</v>
      </c>
      <c r="Q6" t="s">
        <v>469</v>
      </c>
      <c r="AA6" t="str">
        <v>Duplex</v>
      </c>
      <c r="AB6" s="7" cm="1">
        <f t="array" ref="AB6">MEDIAN(IF(Combined[Type] = AA6, Combined[PriceClean]))</f>
        <v>1800000</v>
      </c>
      <c r="AC6">
        <f>COUNTIF(Combined[Type], AA6)</f>
        <v>1</v>
      </c>
      <c r="AD6" s="6" cm="1">
        <f t="array" ref="AD6">IFERROR(MEDIAN(IF(Combined[Type]=AA6,Combined[PriceClean]/Combined[Bedroom])),"N/A")</f>
        <v>450000</v>
      </c>
    </row>
    <row r="7" spans="1:30" x14ac:dyDescent="0.25">
      <c r="A7" t="s">
        <v>185</v>
      </c>
      <c r="B7" t="s">
        <v>186</v>
      </c>
      <c r="C7" t="s">
        <v>17</v>
      </c>
      <c r="D7">
        <v>2220</v>
      </c>
      <c r="E7" t="s">
        <v>18</v>
      </c>
      <c r="F7" t="s">
        <v>184</v>
      </c>
      <c r="G7" t="s">
        <v>401</v>
      </c>
      <c r="H7" t="s">
        <v>457</v>
      </c>
      <c r="I7" t="s">
        <v>457</v>
      </c>
      <c r="J7" t="s">
        <v>20</v>
      </c>
      <c r="K7" t="s">
        <v>457</v>
      </c>
      <c r="L7" t="s">
        <v>22</v>
      </c>
      <c r="M7">
        <v>10</v>
      </c>
      <c r="N7" t="s">
        <v>22</v>
      </c>
      <c r="O7" t="s">
        <v>424</v>
      </c>
      <c r="P7" s="5">
        <v>1125000</v>
      </c>
      <c r="Q7" t="s">
        <v>469</v>
      </c>
      <c r="AA7" t="str">
        <v>Land</v>
      </c>
      <c r="AB7" s="7" cm="1">
        <f t="array" ref="AB7">MEDIAN(IF(Combined[Type] = AA7, Combined[PriceClean]))</f>
        <v>2000000</v>
      </c>
      <c r="AC7">
        <f>COUNTIF(Combined[Type], AA7)</f>
        <v>1</v>
      </c>
      <c r="AD7" s="6" t="str" cm="1">
        <f t="array" ref="AD7">IFERROR(MEDIAN(IF(Combined[Type]=AA7,Combined[PriceClean]/Combined[Bedroom])),"N/A")</f>
        <v>N/A</v>
      </c>
    </row>
    <row r="8" spans="1:30" x14ac:dyDescent="0.25">
      <c r="A8" t="s">
        <v>185</v>
      </c>
      <c r="B8" t="s">
        <v>186</v>
      </c>
      <c r="C8" t="s">
        <v>17</v>
      </c>
      <c r="D8">
        <v>2220</v>
      </c>
      <c r="E8" t="s">
        <v>18</v>
      </c>
      <c r="F8" t="s">
        <v>182</v>
      </c>
      <c r="G8" t="s">
        <v>401</v>
      </c>
      <c r="H8" t="s">
        <v>457</v>
      </c>
      <c r="I8" t="s">
        <v>457</v>
      </c>
      <c r="J8" t="s">
        <v>20</v>
      </c>
      <c r="K8" t="s">
        <v>457</v>
      </c>
      <c r="L8" t="s">
        <v>187</v>
      </c>
      <c r="M8">
        <v>10</v>
      </c>
      <c r="N8" t="s">
        <v>22</v>
      </c>
      <c r="O8" t="s">
        <v>424</v>
      </c>
      <c r="P8" s="5">
        <v>1125000</v>
      </c>
      <c r="Q8" t="s">
        <v>469</v>
      </c>
      <c r="AA8" t="str">
        <v>Other</v>
      </c>
      <c r="AB8" s="7" cm="1">
        <f t="array" ref="AB8">MEDIAN(IF(Combined[Type] = AA8, Combined[PriceClean]))</f>
        <v>2650000</v>
      </c>
      <c r="AC8">
        <f>COUNTIF(Combined[Type], AA8)</f>
        <v>1</v>
      </c>
      <c r="AD8" s="6" cm="1">
        <f t="array" ref="AD8">IFERROR(MEDIAN(IF(Combined[Type]=AA8,Combined[PriceClean]/Combined[Bedroom])),"N/A")</f>
        <v>132500</v>
      </c>
    </row>
    <row r="9" spans="1:30" x14ac:dyDescent="0.25">
      <c r="A9" t="s">
        <v>389</v>
      </c>
      <c r="B9" t="s">
        <v>390</v>
      </c>
      <c r="C9" t="s">
        <v>263</v>
      </c>
      <c r="D9">
        <v>2115</v>
      </c>
      <c r="E9" t="s">
        <v>169</v>
      </c>
      <c r="F9" t="s">
        <v>392</v>
      </c>
      <c r="G9" t="s">
        <v>72</v>
      </c>
      <c r="H9" t="s">
        <v>456</v>
      </c>
      <c r="I9" t="s">
        <v>457</v>
      </c>
      <c r="J9" t="s">
        <v>20</v>
      </c>
      <c r="K9" t="s">
        <v>458</v>
      </c>
      <c r="L9" t="s">
        <v>391</v>
      </c>
      <c r="M9">
        <v>9</v>
      </c>
      <c r="N9" t="s">
        <v>22</v>
      </c>
      <c r="O9" t="s">
        <v>424</v>
      </c>
      <c r="P9" s="5">
        <v>1150000</v>
      </c>
      <c r="Q9" t="s">
        <v>469</v>
      </c>
    </row>
    <row r="10" spans="1:30" x14ac:dyDescent="0.25">
      <c r="A10" t="s">
        <v>385</v>
      </c>
      <c r="B10" t="s">
        <v>386</v>
      </c>
      <c r="C10" t="s">
        <v>216</v>
      </c>
      <c r="D10">
        <v>2150</v>
      </c>
      <c r="E10" t="s">
        <v>18</v>
      </c>
      <c r="F10" t="s">
        <v>388</v>
      </c>
      <c r="G10" t="s">
        <v>72</v>
      </c>
      <c r="H10" t="s">
        <v>456</v>
      </c>
      <c r="I10" t="s">
        <v>457</v>
      </c>
      <c r="J10" t="s">
        <v>20</v>
      </c>
      <c r="K10" t="s">
        <v>458</v>
      </c>
      <c r="L10" t="s">
        <v>387</v>
      </c>
      <c r="M10">
        <v>6</v>
      </c>
      <c r="N10" t="s">
        <v>22</v>
      </c>
      <c r="O10" t="s">
        <v>424</v>
      </c>
      <c r="P10" s="5">
        <v>1165000</v>
      </c>
      <c r="Q10" t="s">
        <v>469</v>
      </c>
      <c r="AA10">
        <v>4</v>
      </c>
    </row>
    <row r="11" spans="1:30" x14ac:dyDescent="0.25">
      <c r="A11" t="s">
        <v>380</v>
      </c>
      <c r="B11" t="s">
        <v>381</v>
      </c>
      <c r="C11" t="s">
        <v>200</v>
      </c>
      <c r="D11">
        <v>2121</v>
      </c>
      <c r="E11" t="s">
        <v>18</v>
      </c>
      <c r="F11" t="s">
        <v>383</v>
      </c>
      <c r="G11" t="s">
        <v>401</v>
      </c>
      <c r="H11" t="s">
        <v>456</v>
      </c>
      <c r="I11" t="s">
        <v>457</v>
      </c>
      <c r="J11" t="s">
        <v>20</v>
      </c>
      <c r="K11" t="s">
        <v>457</v>
      </c>
      <c r="L11" t="s">
        <v>382</v>
      </c>
      <c r="M11">
        <v>13</v>
      </c>
      <c r="N11" t="s">
        <v>437</v>
      </c>
      <c r="O11" t="s">
        <v>425</v>
      </c>
      <c r="P11" s="5">
        <v>1195000</v>
      </c>
      <c r="Q11" t="s">
        <v>469</v>
      </c>
      <c r="AA11" t="str" cm="1">
        <f t="array" ref="AA11">INDEX(_xlfn.ANCHORARRAY(AA2), AA10)</f>
        <v>Townhouse</v>
      </c>
      <c r="AB11" s="5">
        <f>VLOOKUP(AA11,AA2:AB8,2,FALSE)</f>
        <v>1295000</v>
      </c>
      <c r="AC11">
        <f>VLOOKUP(AA11,AA2:AC8,3,FALSE)</f>
        <v>6</v>
      </c>
      <c r="AD11" s="5">
        <f>VLOOKUP(AA11,AA2:AD8,4,FALSE)</f>
        <v>391666.66666666663</v>
      </c>
    </row>
    <row r="12" spans="1:30" x14ac:dyDescent="0.25">
      <c r="A12" t="s">
        <v>373</v>
      </c>
      <c r="B12" t="s">
        <v>374</v>
      </c>
      <c r="C12" t="s">
        <v>210</v>
      </c>
      <c r="D12">
        <v>2152</v>
      </c>
      <c r="E12" t="s">
        <v>169</v>
      </c>
      <c r="F12" t="s">
        <v>366</v>
      </c>
      <c r="G12" t="s">
        <v>401</v>
      </c>
      <c r="H12" t="s">
        <v>456</v>
      </c>
      <c r="I12" t="s">
        <v>457</v>
      </c>
      <c r="J12" t="s">
        <v>20</v>
      </c>
      <c r="K12" t="s">
        <v>457</v>
      </c>
      <c r="L12" t="s">
        <v>375</v>
      </c>
      <c r="M12">
        <v>28</v>
      </c>
      <c r="N12" t="s">
        <v>22</v>
      </c>
      <c r="O12" t="s">
        <v>424</v>
      </c>
      <c r="P12" s="5">
        <v>1200000</v>
      </c>
      <c r="Q12" t="s">
        <v>469</v>
      </c>
    </row>
    <row r="13" spans="1:30" x14ac:dyDescent="0.25">
      <c r="A13" t="s">
        <v>370</v>
      </c>
      <c r="B13" t="s">
        <v>173</v>
      </c>
      <c r="C13" t="s">
        <v>200</v>
      </c>
      <c r="D13">
        <v>2121</v>
      </c>
      <c r="E13" t="s">
        <v>18</v>
      </c>
      <c r="F13" t="s">
        <v>321</v>
      </c>
      <c r="G13" t="s">
        <v>401</v>
      </c>
      <c r="H13" t="s">
        <v>457</v>
      </c>
      <c r="I13" t="s">
        <v>457</v>
      </c>
      <c r="J13" t="s">
        <v>20</v>
      </c>
      <c r="K13" t="s">
        <v>457</v>
      </c>
      <c r="L13" t="s">
        <v>320</v>
      </c>
      <c r="M13">
        <v>34</v>
      </c>
      <c r="N13" t="s">
        <v>22</v>
      </c>
      <c r="O13" t="s">
        <v>424</v>
      </c>
      <c r="P13" s="5">
        <v>1200000</v>
      </c>
      <c r="Q13" t="s">
        <v>469</v>
      </c>
    </row>
    <row r="14" spans="1:30" x14ac:dyDescent="0.25">
      <c r="A14" t="s">
        <v>376</v>
      </c>
      <c r="B14" t="s">
        <v>377</v>
      </c>
      <c r="C14" t="s">
        <v>200</v>
      </c>
      <c r="D14">
        <v>2121</v>
      </c>
      <c r="E14" t="s">
        <v>18</v>
      </c>
      <c r="F14" t="s">
        <v>379</v>
      </c>
      <c r="G14" t="s">
        <v>401</v>
      </c>
      <c r="H14" t="s">
        <v>457</v>
      </c>
      <c r="I14" t="s">
        <v>457</v>
      </c>
      <c r="J14" t="s">
        <v>20</v>
      </c>
      <c r="K14" t="s">
        <v>458</v>
      </c>
      <c r="L14" t="s">
        <v>378</v>
      </c>
      <c r="M14">
        <v>13</v>
      </c>
      <c r="N14" t="s">
        <v>22</v>
      </c>
      <c r="O14" t="s">
        <v>424</v>
      </c>
      <c r="P14" s="5">
        <v>1200000</v>
      </c>
      <c r="Q14" t="s">
        <v>469</v>
      </c>
    </row>
    <row r="15" spans="1:30" x14ac:dyDescent="0.25">
      <c r="A15" t="s">
        <v>371</v>
      </c>
      <c r="B15" t="s">
        <v>372</v>
      </c>
      <c r="C15" t="s">
        <v>230</v>
      </c>
      <c r="D15">
        <v>2161</v>
      </c>
      <c r="E15" t="s">
        <v>38</v>
      </c>
      <c r="F15" t="s">
        <v>232</v>
      </c>
      <c r="G15" t="s">
        <v>401</v>
      </c>
      <c r="H15" t="s">
        <v>460</v>
      </c>
      <c r="I15" t="s">
        <v>456</v>
      </c>
      <c r="J15" t="s">
        <v>20</v>
      </c>
      <c r="K15" t="s">
        <v>457</v>
      </c>
      <c r="L15" t="s">
        <v>269</v>
      </c>
      <c r="M15">
        <v>9</v>
      </c>
      <c r="N15" t="s">
        <v>22</v>
      </c>
      <c r="O15" t="s">
        <v>424</v>
      </c>
      <c r="P15" s="5">
        <v>1200000</v>
      </c>
      <c r="Q15" t="s">
        <v>469</v>
      </c>
    </row>
    <row r="16" spans="1:30" x14ac:dyDescent="0.25">
      <c r="A16" t="s">
        <v>97</v>
      </c>
      <c r="B16" t="s">
        <v>98</v>
      </c>
      <c r="C16" t="s">
        <v>51</v>
      </c>
      <c r="D16">
        <v>2222</v>
      </c>
      <c r="E16" t="s">
        <v>38</v>
      </c>
      <c r="F16" t="s">
        <v>28</v>
      </c>
      <c r="G16" t="s">
        <v>401</v>
      </c>
      <c r="H16" t="s">
        <v>456</v>
      </c>
      <c r="I16" t="s">
        <v>458</v>
      </c>
      <c r="J16" t="s">
        <v>20</v>
      </c>
      <c r="K16" t="s">
        <v>461</v>
      </c>
      <c r="L16" t="s">
        <v>99</v>
      </c>
      <c r="M16">
        <v>6</v>
      </c>
      <c r="N16" t="s">
        <v>22</v>
      </c>
      <c r="O16" t="s">
        <v>424</v>
      </c>
      <c r="P16" s="5">
        <v>1299000</v>
      </c>
      <c r="Q16" t="s">
        <v>469</v>
      </c>
    </row>
    <row r="17" spans="1:17" x14ac:dyDescent="0.25">
      <c r="A17" t="s">
        <v>100</v>
      </c>
      <c r="B17" t="s">
        <v>101</v>
      </c>
      <c r="C17" t="s">
        <v>70</v>
      </c>
      <c r="D17">
        <v>2210</v>
      </c>
      <c r="E17" t="s">
        <v>38</v>
      </c>
      <c r="F17" t="s">
        <v>56</v>
      </c>
      <c r="G17" t="s">
        <v>401</v>
      </c>
      <c r="H17" t="s">
        <v>458</v>
      </c>
      <c r="I17" t="s">
        <v>458</v>
      </c>
      <c r="J17" t="s">
        <v>20</v>
      </c>
      <c r="K17" t="s">
        <v>462</v>
      </c>
      <c r="L17" t="s">
        <v>102</v>
      </c>
      <c r="M17">
        <v>6</v>
      </c>
      <c r="N17" t="s">
        <v>22</v>
      </c>
      <c r="O17" t="s">
        <v>424</v>
      </c>
      <c r="P17" s="5">
        <v>1380000</v>
      </c>
      <c r="Q17" t="s">
        <v>469</v>
      </c>
    </row>
    <row r="18" spans="1:17" x14ac:dyDescent="0.25">
      <c r="A18" t="s">
        <v>367</v>
      </c>
      <c r="B18" t="s">
        <v>368</v>
      </c>
      <c r="C18" t="s">
        <v>289</v>
      </c>
      <c r="D18">
        <v>2151</v>
      </c>
      <c r="E18" t="s">
        <v>169</v>
      </c>
      <c r="F18" t="s">
        <v>366</v>
      </c>
      <c r="G18" t="s">
        <v>401</v>
      </c>
      <c r="H18" t="s">
        <v>456</v>
      </c>
      <c r="I18" t="s">
        <v>456</v>
      </c>
      <c r="J18" t="s">
        <v>20</v>
      </c>
      <c r="K18" t="s">
        <v>457</v>
      </c>
      <c r="L18" t="s">
        <v>369</v>
      </c>
      <c r="M18">
        <v>20</v>
      </c>
      <c r="N18" t="s">
        <v>22</v>
      </c>
      <c r="O18" t="s">
        <v>424</v>
      </c>
      <c r="P18" s="5">
        <v>1390000</v>
      </c>
      <c r="Q18" t="s">
        <v>469</v>
      </c>
    </row>
    <row r="19" spans="1:17" x14ac:dyDescent="0.25">
      <c r="A19" t="s">
        <v>358</v>
      </c>
      <c r="B19" t="s">
        <v>359</v>
      </c>
      <c r="C19" t="s">
        <v>216</v>
      </c>
      <c r="D19">
        <v>2150</v>
      </c>
      <c r="E19" t="s">
        <v>169</v>
      </c>
      <c r="F19" t="s">
        <v>361</v>
      </c>
      <c r="G19" t="s">
        <v>401</v>
      </c>
      <c r="H19" t="s">
        <v>456</v>
      </c>
      <c r="I19" t="s">
        <v>456</v>
      </c>
      <c r="J19" t="s">
        <v>20</v>
      </c>
      <c r="K19" t="s">
        <v>458</v>
      </c>
      <c r="L19" t="s">
        <v>360</v>
      </c>
      <c r="M19">
        <v>14</v>
      </c>
      <c r="N19" t="s">
        <v>22</v>
      </c>
      <c r="O19" t="s">
        <v>424</v>
      </c>
      <c r="P19" s="5">
        <v>1395000</v>
      </c>
      <c r="Q19" t="s">
        <v>469</v>
      </c>
    </row>
    <row r="20" spans="1:17" x14ac:dyDescent="0.25">
      <c r="A20" t="s">
        <v>363</v>
      </c>
      <c r="B20" t="s">
        <v>364</v>
      </c>
      <c r="C20" t="s">
        <v>230</v>
      </c>
      <c r="D20">
        <v>2161</v>
      </c>
      <c r="E20" t="s">
        <v>38</v>
      </c>
      <c r="F20" t="s">
        <v>366</v>
      </c>
      <c r="G20" t="s">
        <v>401</v>
      </c>
      <c r="H20" t="s">
        <v>456</v>
      </c>
      <c r="I20" t="s">
        <v>458</v>
      </c>
      <c r="J20" t="s">
        <v>20</v>
      </c>
      <c r="K20" t="s">
        <v>458</v>
      </c>
      <c r="L20" t="s">
        <v>365</v>
      </c>
      <c r="M20">
        <v>21</v>
      </c>
      <c r="N20" t="s">
        <v>22</v>
      </c>
      <c r="O20" t="s">
        <v>424</v>
      </c>
      <c r="P20" s="5">
        <v>1395000</v>
      </c>
      <c r="Q20" t="s">
        <v>469</v>
      </c>
    </row>
    <row r="21" spans="1:17" x14ac:dyDescent="0.25">
      <c r="A21" t="s">
        <v>68</v>
      </c>
      <c r="B21" t="s">
        <v>69</v>
      </c>
      <c r="C21" t="s">
        <v>70</v>
      </c>
      <c r="D21">
        <v>2210</v>
      </c>
      <c r="E21" t="s">
        <v>38</v>
      </c>
      <c r="F21" t="s">
        <v>71</v>
      </c>
      <c r="G21" t="s">
        <v>401</v>
      </c>
      <c r="H21" t="s">
        <v>456</v>
      </c>
      <c r="I21" t="s">
        <v>456</v>
      </c>
      <c r="J21" t="s">
        <v>20</v>
      </c>
      <c r="K21" t="s">
        <v>457</v>
      </c>
      <c r="L21" t="s">
        <v>73</v>
      </c>
      <c r="M21">
        <v>11</v>
      </c>
      <c r="N21" t="s">
        <v>22</v>
      </c>
      <c r="O21" t="s">
        <v>424</v>
      </c>
      <c r="P21" s="5">
        <v>1400000</v>
      </c>
      <c r="Q21" t="s">
        <v>469</v>
      </c>
    </row>
    <row r="22" spans="1:17" x14ac:dyDescent="0.25">
      <c r="A22" t="s">
        <v>353</v>
      </c>
      <c r="B22" t="s">
        <v>354</v>
      </c>
      <c r="C22" t="s">
        <v>240</v>
      </c>
      <c r="D22">
        <v>2142</v>
      </c>
      <c r="E22" t="s">
        <v>38</v>
      </c>
      <c r="F22" t="s">
        <v>356</v>
      </c>
      <c r="G22" t="s">
        <v>401</v>
      </c>
      <c r="H22" t="s">
        <v>460</v>
      </c>
      <c r="I22" t="s">
        <v>460</v>
      </c>
      <c r="J22" t="s">
        <v>20</v>
      </c>
      <c r="K22" t="s">
        <v>457</v>
      </c>
      <c r="L22" t="s">
        <v>355</v>
      </c>
      <c r="M22">
        <v>8</v>
      </c>
      <c r="N22" t="s">
        <v>22</v>
      </c>
      <c r="O22" t="s">
        <v>424</v>
      </c>
      <c r="P22" s="5">
        <v>1400000</v>
      </c>
      <c r="Q22" t="s">
        <v>469</v>
      </c>
    </row>
    <row r="23" spans="1:17" x14ac:dyDescent="0.25">
      <c r="A23" t="s">
        <v>180</v>
      </c>
      <c r="B23" t="s">
        <v>181</v>
      </c>
      <c r="C23" t="s">
        <v>17</v>
      </c>
      <c r="D23">
        <v>2220</v>
      </c>
      <c r="E23" t="s">
        <v>18</v>
      </c>
      <c r="F23" t="s">
        <v>184</v>
      </c>
      <c r="G23" t="s">
        <v>401</v>
      </c>
      <c r="H23" t="s">
        <v>456</v>
      </c>
      <c r="I23" t="s">
        <v>457</v>
      </c>
      <c r="J23" t="s">
        <v>20</v>
      </c>
      <c r="K23" t="s">
        <v>457</v>
      </c>
      <c r="L23" t="s">
        <v>22</v>
      </c>
      <c r="M23">
        <v>13</v>
      </c>
      <c r="N23" t="s">
        <v>22</v>
      </c>
      <c r="O23" t="s">
        <v>424</v>
      </c>
      <c r="P23" s="5">
        <v>1435000</v>
      </c>
      <c r="Q23" t="s">
        <v>469</v>
      </c>
    </row>
    <row r="24" spans="1:17" x14ac:dyDescent="0.25">
      <c r="A24" t="s">
        <v>180</v>
      </c>
      <c r="B24" t="s">
        <v>181</v>
      </c>
      <c r="C24" t="s">
        <v>17</v>
      </c>
      <c r="D24">
        <v>2220</v>
      </c>
      <c r="E24" t="s">
        <v>18</v>
      </c>
      <c r="F24" t="s">
        <v>182</v>
      </c>
      <c r="G24" t="s">
        <v>401</v>
      </c>
      <c r="H24" t="s">
        <v>456</v>
      </c>
      <c r="I24" t="s">
        <v>457</v>
      </c>
      <c r="J24" t="s">
        <v>20</v>
      </c>
      <c r="K24" t="s">
        <v>457</v>
      </c>
      <c r="L24" t="s">
        <v>183</v>
      </c>
      <c r="M24">
        <v>13</v>
      </c>
      <c r="N24" t="s">
        <v>22</v>
      </c>
      <c r="O24" t="s">
        <v>424</v>
      </c>
      <c r="P24" s="5">
        <v>1435000</v>
      </c>
      <c r="Q24" t="s">
        <v>469</v>
      </c>
    </row>
    <row r="25" spans="1:17" x14ac:dyDescent="0.25">
      <c r="A25" t="s">
        <v>176</v>
      </c>
      <c r="B25" t="s">
        <v>177</v>
      </c>
      <c r="C25" t="s">
        <v>51</v>
      </c>
      <c r="D25">
        <v>2222</v>
      </c>
      <c r="E25" t="s">
        <v>169</v>
      </c>
      <c r="F25" t="s">
        <v>178</v>
      </c>
      <c r="G25" t="s">
        <v>401</v>
      </c>
      <c r="H25" t="s">
        <v>460</v>
      </c>
      <c r="I25" t="s">
        <v>456</v>
      </c>
      <c r="J25" t="s">
        <v>20</v>
      </c>
      <c r="K25" t="s">
        <v>457</v>
      </c>
      <c r="L25" t="s">
        <v>179</v>
      </c>
      <c r="M25">
        <v>15</v>
      </c>
      <c r="N25" t="s">
        <v>22</v>
      </c>
      <c r="O25" t="s">
        <v>424</v>
      </c>
      <c r="P25" s="5">
        <v>1470000</v>
      </c>
      <c r="Q25" t="s">
        <v>469</v>
      </c>
    </row>
    <row r="26" spans="1:17" x14ac:dyDescent="0.25">
      <c r="A26" t="s">
        <v>348</v>
      </c>
      <c r="B26" t="s">
        <v>349</v>
      </c>
      <c r="C26" t="s">
        <v>346</v>
      </c>
      <c r="D26">
        <v>2146</v>
      </c>
      <c r="E26" t="s">
        <v>38</v>
      </c>
      <c r="F26" t="s">
        <v>351</v>
      </c>
      <c r="G26" t="s">
        <v>401</v>
      </c>
      <c r="H26" t="s">
        <v>456</v>
      </c>
      <c r="I26" t="s">
        <v>458</v>
      </c>
      <c r="J26" t="s">
        <v>20</v>
      </c>
      <c r="K26" t="s">
        <v>456</v>
      </c>
      <c r="L26" t="s">
        <v>350</v>
      </c>
      <c r="M26">
        <v>7</v>
      </c>
      <c r="N26" t="s">
        <v>22</v>
      </c>
      <c r="O26" t="s">
        <v>424</v>
      </c>
      <c r="P26" s="5">
        <v>1490000</v>
      </c>
      <c r="Q26" t="s">
        <v>469</v>
      </c>
    </row>
    <row r="27" spans="1:17" x14ac:dyDescent="0.25">
      <c r="A27" t="s">
        <v>344</v>
      </c>
      <c r="B27" t="s">
        <v>345</v>
      </c>
      <c r="C27" t="s">
        <v>346</v>
      </c>
      <c r="D27">
        <v>2146</v>
      </c>
      <c r="E27" t="s">
        <v>38</v>
      </c>
      <c r="F27" t="s">
        <v>232</v>
      </c>
      <c r="G27" t="s">
        <v>401</v>
      </c>
      <c r="H27" t="s">
        <v>459</v>
      </c>
      <c r="I27" t="s">
        <v>456</v>
      </c>
      <c r="J27" t="s">
        <v>20</v>
      </c>
      <c r="K27" t="s">
        <v>457</v>
      </c>
      <c r="L27" t="s">
        <v>347</v>
      </c>
      <c r="M27">
        <v>9</v>
      </c>
      <c r="N27" t="s">
        <v>22</v>
      </c>
      <c r="O27" t="s">
        <v>424</v>
      </c>
      <c r="P27" s="5">
        <v>1495000</v>
      </c>
      <c r="Q27" t="s">
        <v>469</v>
      </c>
    </row>
    <row r="28" spans="1:17" x14ac:dyDescent="0.25">
      <c r="A28" t="s">
        <v>338</v>
      </c>
      <c r="B28" t="s">
        <v>339</v>
      </c>
      <c r="C28" t="s">
        <v>230</v>
      </c>
      <c r="D28">
        <v>2161</v>
      </c>
      <c r="E28" t="s">
        <v>38</v>
      </c>
      <c r="F28" t="s">
        <v>232</v>
      </c>
      <c r="G28" t="s">
        <v>401</v>
      </c>
      <c r="H28" t="s">
        <v>459</v>
      </c>
      <c r="I28" t="s">
        <v>456</v>
      </c>
      <c r="J28" t="s">
        <v>20</v>
      </c>
      <c r="K28" t="s">
        <v>457</v>
      </c>
      <c r="L28" t="s">
        <v>340</v>
      </c>
      <c r="M28">
        <v>10</v>
      </c>
      <c r="N28" t="s">
        <v>22</v>
      </c>
      <c r="O28" t="s">
        <v>424</v>
      </c>
      <c r="P28" s="5">
        <v>1500000</v>
      </c>
      <c r="Q28" t="s">
        <v>470</v>
      </c>
    </row>
    <row r="29" spans="1:17" x14ac:dyDescent="0.25">
      <c r="A29" t="s">
        <v>338</v>
      </c>
      <c r="B29" t="s">
        <v>341</v>
      </c>
      <c r="C29" t="s">
        <v>230</v>
      </c>
      <c r="D29">
        <v>2161</v>
      </c>
      <c r="E29" t="s">
        <v>38</v>
      </c>
      <c r="F29" t="s">
        <v>343</v>
      </c>
      <c r="G29" t="s">
        <v>401</v>
      </c>
      <c r="H29" t="s">
        <v>459</v>
      </c>
      <c r="I29" t="s">
        <v>456</v>
      </c>
      <c r="J29" t="s">
        <v>20</v>
      </c>
      <c r="K29" t="s">
        <v>460</v>
      </c>
      <c r="L29" t="s">
        <v>342</v>
      </c>
      <c r="M29">
        <v>12</v>
      </c>
      <c r="N29" t="s">
        <v>22</v>
      </c>
      <c r="O29" t="s">
        <v>424</v>
      </c>
      <c r="P29" s="5">
        <v>1500000</v>
      </c>
      <c r="Q29" t="s">
        <v>470</v>
      </c>
    </row>
    <row r="30" spans="1:17" x14ac:dyDescent="0.25">
      <c r="A30" t="s">
        <v>26</v>
      </c>
      <c r="B30" t="s">
        <v>27</v>
      </c>
      <c r="C30" t="s">
        <v>17</v>
      </c>
      <c r="D30">
        <v>2220</v>
      </c>
      <c r="E30" t="s">
        <v>18</v>
      </c>
      <c r="F30" t="s">
        <v>28</v>
      </c>
      <c r="G30" t="s">
        <v>401</v>
      </c>
      <c r="H30" t="s">
        <v>456</v>
      </c>
      <c r="I30" t="s">
        <v>456</v>
      </c>
      <c r="J30" t="s">
        <v>20</v>
      </c>
      <c r="K30" t="s">
        <v>457</v>
      </c>
      <c r="L30" t="s">
        <v>29</v>
      </c>
      <c r="M30">
        <v>15</v>
      </c>
      <c r="N30" t="s">
        <v>22</v>
      </c>
      <c r="O30" t="s">
        <v>424</v>
      </c>
      <c r="P30" s="5">
        <v>1500000</v>
      </c>
      <c r="Q30" t="s">
        <v>470</v>
      </c>
    </row>
    <row r="31" spans="1:17" x14ac:dyDescent="0.25">
      <c r="A31" t="s">
        <v>332</v>
      </c>
      <c r="B31" t="s">
        <v>333</v>
      </c>
      <c r="C31" t="s">
        <v>334</v>
      </c>
      <c r="D31">
        <v>2117</v>
      </c>
      <c r="E31" t="s">
        <v>38</v>
      </c>
      <c r="F31" t="s">
        <v>336</v>
      </c>
      <c r="G31" t="s">
        <v>401</v>
      </c>
      <c r="H31" t="s">
        <v>457</v>
      </c>
      <c r="I31" t="s">
        <v>458</v>
      </c>
      <c r="J31" t="s">
        <v>20</v>
      </c>
      <c r="K31" t="s">
        <v>457</v>
      </c>
      <c r="L31" t="s">
        <v>335</v>
      </c>
      <c r="M31">
        <v>5</v>
      </c>
      <c r="N31" t="s">
        <v>22</v>
      </c>
      <c r="O31" t="s">
        <v>424</v>
      </c>
      <c r="P31" s="5">
        <v>1550000</v>
      </c>
      <c r="Q31" t="s">
        <v>470</v>
      </c>
    </row>
    <row r="32" spans="1:17" x14ac:dyDescent="0.25">
      <c r="A32" t="s">
        <v>54</v>
      </c>
      <c r="B32" t="s">
        <v>55</v>
      </c>
      <c r="C32" t="s">
        <v>51</v>
      </c>
      <c r="D32">
        <v>2222</v>
      </c>
      <c r="E32" t="s">
        <v>38</v>
      </c>
      <c r="F32" t="s">
        <v>56</v>
      </c>
      <c r="G32" t="s">
        <v>401</v>
      </c>
      <c r="H32" t="s">
        <v>459</v>
      </c>
      <c r="I32" t="s">
        <v>457</v>
      </c>
      <c r="J32" t="s">
        <v>20</v>
      </c>
      <c r="K32" t="s">
        <v>457</v>
      </c>
      <c r="L32" t="s">
        <v>57</v>
      </c>
      <c r="M32">
        <v>9</v>
      </c>
      <c r="N32" t="s">
        <v>22</v>
      </c>
      <c r="O32" t="s">
        <v>424</v>
      </c>
      <c r="P32" s="5">
        <v>1550000</v>
      </c>
      <c r="Q32" t="s">
        <v>470</v>
      </c>
    </row>
    <row r="33" spans="1:17" x14ac:dyDescent="0.25">
      <c r="A33" t="s">
        <v>323</v>
      </c>
      <c r="B33" t="s">
        <v>324</v>
      </c>
      <c r="C33" t="s">
        <v>325</v>
      </c>
      <c r="D33">
        <v>2142</v>
      </c>
      <c r="E33" t="s">
        <v>38</v>
      </c>
      <c r="F33" t="s">
        <v>327</v>
      </c>
      <c r="G33" t="s">
        <v>401</v>
      </c>
      <c r="H33" t="s">
        <v>456</v>
      </c>
      <c r="I33" t="s">
        <v>458</v>
      </c>
      <c r="J33" t="s">
        <v>20</v>
      </c>
      <c r="K33" t="s">
        <v>458</v>
      </c>
      <c r="L33" t="s">
        <v>326</v>
      </c>
      <c r="M33">
        <v>6</v>
      </c>
      <c r="N33" t="s">
        <v>22</v>
      </c>
      <c r="O33" t="s">
        <v>424</v>
      </c>
      <c r="P33" s="5">
        <v>1600000</v>
      </c>
      <c r="Q33" t="s">
        <v>470</v>
      </c>
    </row>
    <row r="34" spans="1:17" x14ac:dyDescent="0.25">
      <c r="A34" t="s">
        <v>319</v>
      </c>
      <c r="B34" t="s">
        <v>173</v>
      </c>
      <c r="C34" t="s">
        <v>200</v>
      </c>
      <c r="D34">
        <v>2121</v>
      </c>
      <c r="E34" t="s">
        <v>18</v>
      </c>
      <c r="F34" t="s">
        <v>321</v>
      </c>
      <c r="G34" t="s">
        <v>401</v>
      </c>
      <c r="H34" t="s">
        <v>456</v>
      </c>
      <c r="I34" t="s">
        <v>456</v>
      </c>
      <c r="J34" t="s">
        <v>20</v>
      </c>
      <c r="K34" t="s">
        <v>457</v>
      </c>
      <c r="L34" t="s">
        <v>320</v>
      </c>
      <c r="M34">
        <v>35</v>
      </c>
      <c r="N34" t="s">
        <v>22</v>
      </c>
      <c r="O34" t="s">
        <v>424</v>
      </c>
      <c r="P34" s="5">
        <v>1600000</v>
      </c>
      <c r="Q34" t="s">
        <v>470</v>
      </c>
    </row>
    <row r="35" spans="1:17" x14ac:dyDescent="0.25">
      <c r="A35" t="s">
        <v>328</v>
      </c>
      <c r="B35" t="s">
        <v>329</v>
      </c>
      <c r="C35" t="s">
        <v>210</v>
      </c>
      <c r="D35">
        <v>2152</v>
      </c>
      <c r="E35" t="s">
        <v>38</v>
      </c>
      <c r="F35" t="s">
        <v>331</v>
      </c>
      <c r="G35" t="s">
        <v>401</v>
      </c>
      <c r="H35" t="s">
        <v>459</v>
      </c>
      <c r="I35" t="s">
        <v>456</v>
      </c>
      <c r="J35" t="s">
        <v>20</v>
      </c>
      <c r="K35" t="s">
        <v>457</v>
      </c>
      <c r="L35" t="s">
        <v>330</v>
      </c>
      <c r="M35">
        <v>30</v>
      </c>
      <c r="N35" t="s">
        <v>22</v>
      </c>
      <c r="O35" t="s">
        <v>424</v>
      </c>
      <c r="P35" s="5">
        <v>1600000</v>
      </c>
      <c r="Q35" t="s">
        <v>470</v>
      </c>
    </row>
    <row r="36" spans="1:17" x14ac:dyDescent="0.25">
      <c r="A36" t="s">
        <v>311</v>
      </c>
      <c r="B36" t="s">
        <v>312</v>
      </c>
      <c r="C36" t="s">
        <v>230</v>
      </c>
      <c r="D36">
        <v>2161</v>
      </c>
      <c r="E36" t="s">
        <v>38</v>
      </c>
      <c r="F36" t="s">
        <v>314</v>
      </c>
      <c r="G36" t="s">
        <v>401</v>
      </c>
      <c r="H36" t="s">
        <v>463</v>
      </c>
      <c r="I36" t="s">
        <v>460</v>
      </c>
      <c r="J36" t="s">
        <v>20</v>
      </c>
      <c r="K36" t="s">
        <v>456</v>
      </c>
      <c r="L36" t="s">
        <v>313</v>
      </c>
      <c r="M36">
        <v>14</v>
      </c>
      <c r="N36" t="s">
        <v>22</v>
      </c>
      <c r="O36" t="s">
        <v>424</v>
      </c>
      <c r="P36" s="5">
        <v>1650000</v>
      </c>
      <c r="Q36" t="s">
        <v>470</v>
      </c>
    </row>
    <row r="37" spans="1:17" x14ac:dyDescent="0.25">
      <c r="A37" t="s">
        <v>316</v>
      </c>
      <c r="B37" t="s">
        <v>317</v>
      </c>
      <c r="C37" t="s">
        <v>230</v>
      </c>
      <c r="D37">
        <v>2161</v>
      </c>
      <c r="E37" t="s">
        <v>38</v>
      </c>
      <c r="F37" t="s">
        <v>232</v>
      </c>
      <c r="G37" t="s">
        <v>401</v>
      </c>
      <c r="H37" t="s">
        <v>464</v>
      </c>
      <c r="I37" t="s">
        <v>460</v>
      </c>
      <c r="J37" t="s">
        <v>20</v>
      </c>
      <c r="K37" t="s">
        <v>456</v>
      </c>
      <c r="L37" t="s">
        <v>318</v>
      </c>
      <c r="M37">
        <v>9</v>
      </c>
      <c r="N37" t="s">
        <v>22</v>
      </c>
      <c r="O37" t="s">
        <v>424</v>
      </c>
      <c r="P37" s="5">
        <v>1650000</v>
      </c>
      <c r="Q37" t="s">
        <v>470</v>
      </c>
    </row>
    <row r="38" spans="1:17" x14ac:dyDescent="0.25">
      <c r="A38" t="s">
        <v>305</v>
      </c>
      <c r="B38" t="s">
        <v>306</v>
      </c>
      <c r="C38" t="s">
        <v>307</v>
      </c>
      <c r="D38">
        <v>2117</v>
      </c>
      <c r="E38" t="s">
        <v>38</v>
      </c>
      <c r="F38" t="s">
        <v>309</v>
      </c>
      <c r="G38" t="s">
        <v>401</v>
      </c>
      <c r="H38" t="s">
        <v>456</v>
      </c>
      <c r="I38" t="s">
        <v>457</v>
      </c>
      <c r="J38" t="s">
        <v>20</v>
      </c>
      <c r="K38" t="s">
        <v>456</v>
      </c>
      <c r="L38" t="s">
        <v>308</v>
      </c>
      <c r="M38">
        <v>18</v>
      </c>
      <c r="N38" t="s">
        <v>22</v>
      </c>
      <c r="O38" t="s">
        <v>424</v>
      </c>
      <c r="P38" s="5">
        <v>1750000</v>
      </c>
      <c r="Q38" t="s">
        <v>470</v>
      </c>
    </row>
    <row r="39" spans="1:17" x14ac:dyDescent="0.25">
      <c r="A39" t="s">
        <v>301</v>
      </c>
      <c r="B39" t="s">
        <v>302</v>
      </c>
      <c r="C39" t="s">
        <v>224</v>
      </c>
      <c r="D39">
        <v>2117</v>
      </c>
      <c r="E39" t="s">
        <v>38</v>
      </c>
      <c r="F39" t="s">
        <v>304</v>
      </c>
      <c r="G39" t="s">
        <v>401</v>
      </c>
      <c r="H39" t="s">
        <v>456</v>
      </c>
      <c r="I39" t="s">
        <v>458</v>
      </c>
      <c r="J39" t="s">
        <v>20</v>
      </c>
      <c r="K39" t="s">
        <v>457</v>
      </c>
      <c r="L39" t="s">
        <v>303</v>
      </c>
      <c r="M39">
        <v>20</v>
      </c>
      <c r="N39" t="s">
        <v>438</v>
      </c>
      <c r="O39" t="s">
        <v>425</v>
      </c>
      <c r="P39" s="5">
        <v>1750000</v>
      </c>
      <c r="Q39" t="s">
        <v>470</v>
      </c>
    </row>
    <row r="40" spans="1:17" x14ac:dyDescent="0.25">
      <c r="A40" t="s">
        <v>297</v>
      </c>
      <c r="B40" t="s">
        <v>298</v>
      </c>
      <c r="C40" t="s">
        <v>240</v>
      </c>
      <c r="D40">
        <v>2142</v>
      </c>
      <c r="E40" t="s">
        <v>38</v>
      </c>
      <c r="F40" t="s">
        <v>232</v>
      </c>
      <c r="G40" t="s">
        <v>401</v>
      </c>
      <c r="H40" t="s">
        <v>464</v>
      </c>
      <c r="I40" t="s">
        <v>456</v>
      </c>
      <c r="J40" t="s">
        <v>20</v>
      </c>
      <c r="K40" t="s">
        <v>460</v>
      </c>
      <c r="L40" t="s">
        <v>299</v>
      </c>
      <c r="M40">
        <v>12</v>
      </c>
      <c r="N40" t="s">
        <v>22</v>
      </c>
      <c r="O40" t="s">
        <v>424</v>
      </c>
      <c r="P40" s="5">
        <v>1768000</v>
      </c>
      <c r="Q40" t="s">
        <v>470</v>
      </c>
    </row>
    <row r="41" spans="1:17" x14ac:dyDescent="0.25">
      <c r="A41" t="s">
        <v>293</v>
      </c>
      <c r="B41" t="s">
        <v>294</v>
      </c>
      <c r="C41" t="s">
        <v>240</v>
      </c>
      <c r="D41">
        <v>2142</v>
      </c>
      <c r="E41" t="s">
        <v>38</v>
      </c>
      <c r="F41" t="s">
        <v>296</v>
      </c>
      <c r="G41" t="s">
        <v>401</v>
      </c>
      <c r="H41" t="s">
        <v>464</v>
      </c>
      <c r="I41" t="s">
        <v>459</v>
      </c>
      <c r="J41" t="s">
        <v>20</v>
      </c>
      <c r="K41" t="s">
        <v>457</v>
      </c>
      <c r="L41" t="s">
        <v>295</v>
      </c>
      <c r="M41">
        <v>21</v>
      </c>
      <c r="N41" t="s">
        <v>22</v>
      </c>
      <c r="O41" t="s">
        <v>424</v>
      </c>
      <c r="P41" s="5">
        <v>1800000</v>
      </c>
      <c r="Q41" t="s">
        <v>470</v>
      </c>
    </row>
    <row r="42" spans="1:17" x14ac:dyDescent="0.25">
      <c r="A42" t="s">
        <v>63</v>
      </c>
      <c r="B42" t="s">
        <v>64</v>
      </c>
      <c r="C42" t="s">
        <v>17</v>
      </c>
      <c r="D42">
        <v>2220</v>
      </c>
      <c r="E42" t="s">
        <v>38</v>
      </c>
      <c r="F42" t="s">
        <v>65</v>
      </c>
      <c r="G42" t="s">
        <v>401</v>
      </c>
      <c r="H42" t="s">
        <v>460</v>
      </c>
      <c r="I42" t="s">
        <v>457</v>
      </c>
      <c r="J42" t="s">
        <v>20</v>
      </c>
      <c r="K42" t="s">
        <v>457</v>
      </c>
      <c r="L42" t="s">
        <v>66</v>
      </c>
      <c r="M42">
        <v>0</v>
      </c>
      <c r="N42" t="s">
        <v>22</v>
      </c>
      <c r="O42" t="s">
        <v>424</v>
      </c>
      <c r="P42" s="5">
        <v>1800000</v>
      </c>
      <c r="Q42" t="s">
        <v>470</v>
      </c>
    </row>
    <row r="43" spans="1:17" x14ac:dyDescent="0.25">
      <c r="A43" t="s">
        <v>63</v>
      </c>
      <c r="B43" t="s">
        <v>64</v>
      </c>
      <c r="C43" t="s">
        <v>17</v>
      </c>
      <c r="D43">
        <v>2220</v>
      </c>
      <c r="E43" t="s">
        <v>67</v>
      </c>
      <c r="F43" t="s">
        <v>47</v>
      </c>
      <c r="G43" t="s">
        <v>401</v>
      </c>
      <c r="H43" t="s">
        <v>460</v>
      </c>
      <c r="I43" t="s">
        <v>456</v>
      </c>
      <c r="J43" t="s">
        <v>20</v>
      </c>
      <c r="K43" t="s">
        <v>457</v>
      </c>
      <c r="L43" t="s">
        <v>66</v>
      </c>
      <c r="M43">
        <v>10</v>
      </c>
      <c r="N43" t="s">
        <v>22</v>
      </c>
      <c r="O43" t="s">
        <v>424</v>
      </c>
      <c r="P43" s="5">
        <v>1800000</v>
      </c>
      <c r="Q43" t="s">
        <v>470</v>
      </c>
    </row>
    <row r="44" spans="1:17" x14ac:dyDescent="0.25">
      <c r="A44" t="s">
        <v>287</v>
      </c>
      <c r="B44" t="s">
        <v>288</v>
      </c>
      <c r="C44" t="s">
        <v>289</v>
      </c>
      <c r="D44">
        <v>2151</v>
      </c>
      <c r="E44" t="s">
        <v>38</v>
      </c>
      <c r="F44" t="s">
        <v>291</v>
      </c>
      <c r="G44" t="s">
        <v>401</v>
      </c>
      <c r="H44" t="s">
        <v>459</v>
      </c>
      <c r="I44" t="s">
        <v>457</v>
      </c>
      <c r="J44" t="s">
        <v>20</v>
      </c>
      <c r="K44" t="s">
        <v>456</v>
      </c>
      <c r="L44" t="s">
        <v>290</v>
      </c>
      <c r="M44">
        <v>14</v>
      </c>
      <c r="N44" t="s">
        <v>22</v>
      </c>
      <c r="O44" t="s">
        <v>424</v>
      </c>
      <c r="P44" s="5">
        <v>1800000</v>
      </c>
      <c r="Q44" t="s">
        <v>470</v>
      </c>
    </row>
    <row r="45" spans="1:17" x14ac:dyDescent="0.25">
      <c r="A45" t="s">
        <v>279</v>
      </c>
      <c r="B45" t="s">
        <v>280</v>
      </c>
      <c r="C45" t="s">
        <v>210</v>
      </c>
      <c r="D45">
        <v>2152</v>
      </c>
      <c r="E45" t="s">
        <v>38</v>
      </c>
      <c r="F45" t="s">
        <v>282</v>
      </c>
      <c r="G45" t="s">
        <v>401</v>
      </c>
      <c r="H45" t="s">
        <v>460</v>
      </c>
      <c r="I45" t="s">
        <v>456</v>
      </c>
      <c r="J45" t="s">
        <v>20</v>
      </c>
      <c r="K45" t="s">
        <v>458</v>
      </c>
      <c r="L45" t="s">
        <v>281</v>
      </c>
      <c r="M45">
        <v>11</v>
      </c>
      <c r="N45" t="s">
        <v>22</v>
      </c>
      <c r="O45" t="s">
        <v>424</v>
      </c>
      <c r="P45" s="5">
        <v>1820000</v>
      </c>
      <c r="Q45" t="s">
        <v>470</v>
      </c>
    </row>
    <row r="46" spans="1:17" x14ac:dyDescent="0.25">
      <c r="A46" t="s">
        <v>273</v>
      </c>
      <c r="B46" t="s">
        <v>274</v>
      </c>
      <c r="C46" t="s">
        <v>230</v>
      </c>
      <c r="D46">
        <v>2161</v>
      </c>
      <c r="E46" t="s">
        <v>38</v>
      </c>
      <c r="F46" t="s">
        <v>276</v>
      </c>
      <c r="G46" t="s">
        <v>277</v>
      </c>
      <c r="H46" t="s">
        <v>463</v>
      </c>
      <c r="I46" t="s">
        <v>460</v>
      </c>
      <c r="J46" t="s">
        <v>20</v>
      </c>
      <c r="K46" t="s">
        <v>457</v>
      </c>
      <c r="L46" t="s">
        <v>275</v>
      </c>
      <c r="M46">
        <v>21</v>
      </c>
      <c r="N46" t="s">
        <v>22</v>
      </c>
      <c r="O46" t="s">
        <v>424</v>
      </c>
      <c r="P46" s="5">
        <v>1825000</v>
      </c>
      <c r="Q46" t="s">
        <v>470</v>
      </c>
    </row>
    <row r="47" spans="1:17" x14ac:dyDescent="0.25">
      <c r="A47" t="s">
        <v>49</v>
      </c>
      <c r="B47" t="s">
        <v>50</v>
      </c>
      <c r="C47" t="s">
        <v>51</v>
      </c>
      <c r="D47">
        <v>2222</v>
      </c>
      <c r="E47" t="s">
        <v>38</v>
      </c>
      <c r="F47" t="s">
        <v>52</v>
      </c>
      <c r="G47" t="s">
        <v>401</v>
      </c>
      <c r="H47" t="s">
        <v>456</v>
      </c>
      <c r="I47" t="s">
        <v>458</v>
      </c>
      <c r="J47" t="s">
        <v>20</v>
      </c>
      <c r="K47" t="s">
        <v>457</v>
      </c>
      <c r="L47" t="s">
        <v>53</v>
      </c>
      <c r="M47">
        <v>13</v>
      </c>
      <c r="N47" t="s">
        <v>22</v>
      </c>
      <c r="O47" t="s">
        <v>424</v>
      </c>
      <c r="P47" s="5">
        <v>1850000</v>
      </c>
      <c r="Q47" t="s">
        <v>470</v>
      </c>
    </row>
    <row r="48" spans="1:17" x14ac:dyDescent="0.25">
      <c r="A48" t="s">
        <v>35</v>
      </c>
      <c r="B48" t="s">
        <v>36</v>
      </c>
      <c r="C48" t="s">
        <v>37</v>
      </c>
      <c r="D48">
        <v>2210</v>
      </c>
      <c r="E48" t="s">
        <v>38</v>
      </c>
      <c r="F48" t="s">
        <v>33</v>
      </c>
      <c r="G48" t="s">
        <v>401</v>
      </c>
      <c r="H48" t="s">
        <v>460</v>
      </c>
      <c r="I48" t="s">
        <v>457</v>
      </c>
      <c r="J48" t="s">
        <v>20</v>
      </c>
      <c r="K48" t="s">
        <v>457</v>
      </c>
      <c r="L48" t="s">
        <v>39</v>
      </c>
      <c r="M48">
        <v>11</v>
      </c>
      <c r="N48" t="s">
        <v>22</v>
      </c>
      <c r="O48" t="s">
        <v>424</v>
      </c>
      <c r="P48" s="5">
        <v>1900000</v>
      </c>
      <c r="Q48" t="s">
        <v>470</v>
      </c>
    </row>
    <row r="49" spans="1:17" x14ac:dyDescent="0.25">
      <c r="A49" t="s">
        <v>261</v>
      </c>
      <c r="B49" t="s">
        <v>262</v>
      </c>
      <c r="C49" t="s">
        <v>263</v>
      </c>
      <c r="D49">
        <v>2115</v>
      </c>
      <c r="E49" t="s">
        <v>38</v>
      </c>
      <c r="F49" t="s">
        <v>265</v>
      </c>
      <c r="G49" t="s">
        <v>401</v>
      </c>
      <c r="H49" t="s">
        <v>460</v>
      </c>
      <c r="I49" t="s">
        <v>456</v>
      </c>
      <c r="J49" t="s">
        <v>20</v>
      </c>
      <c r="K49" t="s">
        <v>457</v>
      </c>
      <c r="L49" t="s">
        <v>264</v>
      </c>
      <c r="M49">
        <v>19</v>
      </c>
      <c r="N49" t="s">
        <v>22</v>
      </c>
      <c r="O49" t="s">
        <v>424</v>
      </c>
      <c r="P49" s="5">
        <v>1900000</v>
      </c>
      <c r="Q49" t="s">
        <v>470</v>
      </c>
    </row>
    <row r="50" spans="1:17" x14ac:dyDescent="0.25">
      <c r="A50" t="s">
        <v>172</v>
      </c>
      <c r="B50" t="s">
        <v>173</v>
      </c>
      <c r="C50" t="s">
        <v>37</v>
      </c>
      <c r="D50">
        <v>2210</v>
      </c>
      <c r="E50" t="s">
        <v>38</v>
      </c>
      <c r="F50" t="s">
        <v>174</v>
      </c>
      <c r="G50" t="s">
        <v>401</v>
      </c>
      <c r="H50" t="s">
        <v>459</v>
      </c>
      <c r="I50" t="s">
        <v>459</v>
      </c>
      <c r="J50" t="s">
        <v>20</v>
      </c>
      <c r="K50" t="s">
        <v>456</v>
      </c>
      <c r="L50" t="s">
        <v>175</v>
      </c>
      <c r="M50">
        <v>13</v>
      </c>
      <c r="N50" t="s">
        <v>22</v>
      </c>
      <c r="O50" t="s">
        <v>424</v>
      </c>
      <c r="P50" s="5">
        <v>1900000</v>
      </c>
      <c r="Q50" t="s">
        <v>470</v>
      </c>
    </row>
    <row r="51" spans="1:17" x14ac:dyDescent="0.25">
      <c r="A51" t="s">
        <v>270</v>
      </c>
      <c r="B51" t="s">
        <v>271</v>
      </c>
      <c r="C51" t="s">
        <v>230</v>
      </c>
      <c r="D51">
        <v>2161</v>
      </c>
      <c r="E51" t="s">
        <v>38</v>
      </c>
      <c r="F51" t="s">
        <v>232</v>
      </c>
      <c r="G51" t="s">
        <v>401</v>
      </c>
      <c r="H51" t="s">
        <v>463</v>
      </c>
      <c r="I51" t="s">
        <v>456</v>
      </c>
      <c r="J51" t="s">
        <v>20</v>
      </c>
      <c r="K51" t="s">
        <v>460</v>
      </c>
      <c r="L51" t="s">
        <v>272</v>
      </c>
      <c r="M51">
        <v>20</v>
      </c>
      <c r="N51" t="s">
        <v>22</v>
      </c>
      <c r="O51" t="s">
        <v>424</v>
      </c>
      <c r="P51" s="5">
        <v>1900000</v>
      </c>
      <c r="Q51" t="s">
        <v>470</v>
      </c>
    </row>
    <row r="52" spans="1:17" x14ac:dyDescent="0.25">
      <c r="A52" t="s">
        <v>267</v>
      </c>
      <c r="B52" t="s">
        <v>268</v>
      </c>
      <c r="C52" t="s">
        <v>263</v>
      </c>
      <c r="D52">
        <v>2115</v>
      </c>
      <c r="E52" t="s">
        <v>38</v>
      </c>
      <c r="F52" t="s">
        <v>232</v>
      </c>
      <c r="G52" t="s">
        <v>401</v>
      </c>
      <c r="H52" t="s">
        <v>460</v>
      </c>
      <c r="I52" t="s">
        <v>457</v>
      </c>
      <c r="J52" t="s">
        <v>20</v>
      </c>
      <c r="K52" t="s">
        <v>460</v>
      </c>
      <c r="L52" t="s">
        <v>269</v>
      </c>
      <c r="M52">
        <v>13</v>
      </c>
      <c r="N52" t="s">
        <v>22</v>
      </c>
      <c r="O52" t="s">
        <v>424</v>
      </c>
      <c r="P52" s="5">
        <v>1900000</v>
      </c>
      <c r="Q52" t="s">
        <v>470</v>
      </c>
    </row>
    <row r="53" spans="1:17" x14ac:dyDescent="0.25">
      <c r="A53" t="s">
        <v>78</v>
      </c>
      <c r="B53" t="s">
        <v>79</v>
      </c>
      <c r="C53" t="s">
        <v>70</v>
      </c>
      <c r="D53">
        <v>2210</v>
      </c>
      <c r="E53" t="s">
        <v>38</v>
      </c>
      <c r="F53" t="s">
        <v>52</v>
      </c>
      <c r="G53" t="s">
        <v>401</v>
      </c>
      <c r="H53" t="s">
        <v>458</v>
      </c>
      <c r="I53" t="s">
        <v>458</v>
      </c>
      <c r="J53" t="s">
        <v>20</v>
      </c>
      <c r="K53" t="s">
        <v>462</v>
      </c>
      <c r="L53" t="s">
        <v>80</v>
      </c>
      <c r="M53">
        <v>13</v>
      </c>
      <c r="N53" t="s">
        <v>22</v>
      </c>
      <c r="O53" t="s">
        <v>424</v>
      </c>
      <c r="P53" s="5">
        <v>1950000</v>
      </c>
      <c r="Q53" t="s">
        <v>470</v>
      </c>
    </row>
    <row r="54" spans="1:17" x14ac:dyDescent="0.25">
      <c r="A54" t="s">
        <v>253</v>
      </c>
      <c r="B54" t="s">
        <v>254</v>
      </c>
      <c r="C54" t="s">
        <v>230</v>
      </c>
      <c r="D54">
        <v>2161</v>
      </c>
      <c r="E54" t="s">
        <v>38</v>
      </c>
      <c r="F54" t="s">
        <v>247</v>
      </c>
      <c r="G54" t="s">
        <v>401</v>
      </c>
      <c r="H54" t="s">
        <v>465</v>
      </c>
      <c r="I54" t="s">
        <v>460</v>
      </c>
      <c r="J54" t="s">
        <v>20</v>
      </c>
      <c r="K54" t="s">
        <v>457</v>
      </c>
      <c r="L54" t="s">
        <v>255</v>
      </c>
      <c r="M54">
        <v>28</v>
      </c>
      <c r="N54" t="s">
        <v>22</v>
      </c>
      <c r="O54" t="s">
        <v>424</v>
      </c>
      <c r="P54" s="5">
        <v>1950000</v>
      </c>
      <c r="Q54" t="s">
        <v>470</v>
      </c>
    </row>
    <row r="55" spans="1:17" x14ac:dyDescent="0.25">
      <c r="A55" t="s">
        <v>258</v>
      </c>
      <c r="B55" t="s">
        <v>259</v>
      </c>
      <c r="C55" t="s">
        <v>230</v>
      </c>
      <c r="D55">
        <v>2161</v>
      </c>
      <c r="E55" t="s">
        <v>38</v>
      </c>
      <c r="F55" t="s">
        <v>197</v>
      </c>
      <c r="G55" t="s">
        <v>401</v>
      </c>
      <c r="H55" t="s">
        <v>464</v>
      </c>
      <c r="I55" t="s">
        <v>456</v>
      </c>
      <c r="J55" t="s">
        <v>20</v>
      </c>
      <c r="K55" t="s">
        <v>457</v>
      </c>
      <c r="L55" t="s">
        <v>260</v>
      </c>
      <c r="M55">
        <v>11</v>
      </c>
      <c r="N55" t="s">
        <v>22</v>
      </c>
      <c r="O55" t="s">
        <v>424</v>
      </c>
      <c r="P55" s="5">
        <v>1950000</v>
      </c>
      <c r="Q55" t="s">
        <v>470</v>
      </c>
    </row>
    <row r="56" spans="1:17" x14ac:dyDescent="0.25">
      <c r="A56" t="s">
        <v>244</v>
      </c>
      <c r="B56" t="s">
        <v>245</v>
      </c>
      <c r="C56" t="s">
        <v>230</v>
      </c>
      <c r="D56">
        <v>2161</v>
      </c>
      <c r="E56" t="s">
        <v>38</v>
      </c>
      <c r="F56" t="s">
        <v>247</v>
      </c>
      <c r="G56" t="s">
        <v>401</v>
      </c>
      <c r="H56" t="s">
        <v>459</v>
      </c>
      <c r="I56" t="s">
        <v>456</v>
      </c>
      <c r="J56" t="s">
        <v>20</v>
      </c>
      <c r="K56" t="s">
        <v>457</v>
      </c>
      <c r="L56" t="s">
        <v>246</v>
      </c>
      <c r="M56">
        <v>31</v>
      </c>
      <c r="N56" t="s">
        <v>22</v>
      </c>
      <c r="O56" t="s">
        <v>424</v>
      </c>
      <c r="P56" s="5">
        <v>2000000</v>
      </c>
      <c r="Q56" t="s">
        <v>471</v>
      </c>
    </row>
    <row r="57" spans="1:17" x14ac:dyDescent="0.25">
      <c r="A57" t="s">
        <v>238</v>
      </c>
      <c r="B57" t="s">
        <v>239</v>
      </c>
      <c r="C57" t="s">
        <v>240</v>
      </c>
      <c r="D57">
        <v>2142</v>
      </c>
      <c r="E57" t="s">
        <v>241</v>
      </c>
      <c r="F57" t="s">
        <v>232</v>
      </c>
      <c r="G57" t="s">
        <v>401</v>
      </c>
      <c r="H57" t="s">
        <v>462</v>
      </c>
      <c r="I57" t="s">
        <v>462</v>
      </c>
      <c r="J57" t="s">
        <v>20</v>
      </c>
      <c r="K57" t="s">
        <v>462</v>
      </c>
      <c r="L57" t="s">
        <v>242</v>
      </c>
      <c r="M57">
        <v>4</v>
      </c>
      <c r="N57" t="s">
        <v>22</v>
      </c>
      <c r="O57" t="s">
        <v>424</v>
      </c>
      <c r="P57" s="5">
        <v>2000000</v>
      </c>
      <c r="Q57" t="s">
        <v>471</v>
      </c>
    </row>
    <row r="58" spans="1:17" x14ac:dyDescent="0.25">
      <c r="A58" t="s">
        <v>163</v>
      </c>
      <c r="B58" t="s">
        <v>164</v>
      </c>
      <c r="C58" t="s">
        <v>32</v>
      </c>
      <c r="D58">
        <v>2223</v>
      </c>
      <c r="E58" t="s">
        <v>38</v>
      </c>
      <c r="F58" t="s">
        <v>165</v>
      </c>
      <c r="G58" t="s">
        <v>401</v>
      </c>
      <c r="H58" t="s">
        <v>460</v>
      </c>
      <c r="I58" t="s">
        <v>457</v>
      </c>
      <c r="J58" t="s">
        <v>20</v>
      </c>
      <c r="K58" t="s">
        <v>457</v>
      </c>
      <c r="L58" t="s">
        <v>166</v>
      </c>
      <c r="M58">
        <v>13</v>
      </c>
      <c r="N58" t="s">
        <v>22</v>
      </c>
      <c r="O58" t="s">
        <v>424</v>
      </c>
      <c r="P58" s="5">
        <v>2075000</v>
      </c>
      <c r="Q58" t="s">
        <v>471</v>
      </c>
    </row>
    <row r="59" spans="1:17" x14ac:dyDescent="0.25">
      <c r="A59" t="s">
        <v>234</v>
      </c>
      <c r="B59" t="s">
        <v>235</v>
      </c>
      <c r="C59" t="s">
        <v>216</v>
      </c>
      <c r="D59">
        <v>2150</v>
      </c>
      <c r="E59" t="s">
        <v>38</v>
      </c>
      <c r="F59" t="s">
        <v>237</v>
      </c>
      <c r="G59" t="s">
        <v>401</v>
      </c>
      <c r="H59" t="s">
        <v>456</v>
      </c>
      <c r="I59" t="s">
        <v>457</v>
      </c>
      <c r="J59" t="s">
        <v>20</v>
      </c>
      <c r="K59" t="s">
        <v>457</v>
      </c>
      <c r="L59" t="s">
        <v>236</v>
      </c>
      <c r="M59">
        <v>0</v>
      </c>
      <c r="N59" t="s">
        <v>22</v>
      </c>
      <c r="O59" t="s">
        <v>424</v>
      </c>
      <c r="P59" s="5">
        <v>2100000</v>
      </c>
      <c r="Q59" t="s">
        <v>471</v>
      </c>
    </row>
    <row r="60" spans="1:17" x14ac:dyDescent="0.25">
      <c r="A60" t="s">
        <v>446</v>
      </c>
      <c r="B60" t="s">
        <v>447</v>
      </c>
      <c r="C60" t="s">
        <v>17</v>
      </c>
      <c r="D60">
        <v>2220</v>
      </c>
      <c r="E60" t="s">
        <v>38</v>
      </c>
      <c r="F60" t="s">
        <v>165</v>
      </c>
      <c r="G60" t="s">
        <v>401</v>
      </c>
      <c r="H60" t="s">
        <v>460</v>
      </c>
      <c r="I60" t="s">
        <v>456</v>
      </c>
      <c r="J60" t="s">
        <v>20</v>
      </c>
      <c r="K60" t="s">
        <v>458</v>
      </c>
      <c r="L60" t="s">
        <v>448</v>
      </c>
      <c r="M60">
        <v>18</v>
      </c>
      <c r="N60" t="s">
        <v>22</v>
      </c>
      <c r="O60" t="s">
        <v>424</v>
      </c>
      <c r="P60" s="5">
        <v>2150000</v>
      </c>
      <c r="Q60" t="s">
        <v>471</v>
      </c>
    </row>
    <row r="61" spans="1:17" x14ac:dyDescent="0.25">
      <c r="A61" t="s">
        <v>228</v>
      </c>
      <c r="B61" t="s">
        <v>229</v>
      </c>
      <c r="C61" t="s">
        <v>230</v>
      </c>
      <c r="D61">
        <v>2161</v>
      </c>
      <c r="E61" t="s">
        <v>38</v>
      </c>
      <c r="F61" t="s">
        <v>232</v>
      </c>
      <c r="G61" t="s">
        <v>401</v>
      </c>
      <c r="H61" t="s">
        <v>459</v>
      </c>
      <c r="I61" t="s">
        <v>459</v>
      </c>
      <c r="J61" t="s">
        <v>20</v>
      </c>
      <c r="K61" t="s">
        <v>460</v>
      </c>
      <c r="L61" t="s">
        <v>231</v>
      </c>
      <c r="M61">
        <v>14</v>
      </c>
      <c r="N61" t="s">
        <v>22</v>
      </c>
      <c r="O61" t="s">
        <v>424</v>
      </c>
      <c r="P61" s="5">
        <v>2200000</v>
      </c>
      <c r="Q61" t="s">
        <v>471</v>
      </c>
    </row>
    <row r="62" spans="1:17" x14ac:dyDescent="0.25">
      <c r="A62" t="s">
        <v>439</v>
      </c>
      <c r="B62" t="s">
        <v>440</v>
      </c>
      <c r="C62" t="s">
        <v>70</v>
      </c>
      <c r="D62">
        <v>2210</v>
      </c>
      <c r="E62" t="s">
        <v>38</v>
      </c>
      <c r="F62" t="s">
        <v>441</v>
      </c>
      <c r="G62" t="s">
        <v>401</v>
      </c>
      <c r="H62" t="s">
        <v>460</v>
      </c>
      <c r="I62" t="s">
        <v>456</v>
      </c>
      <c r="J62" t="s">
        <v>20</v>
      </c>
      <c r="K62" t="s">
        <v>464</v>
      </c>
      <c r="L62" t="s">
        <v>442</v>
      </c>
      <c r="M62">
        <v>18</v>
      </c>
      <c r="N62" t="s">
        <v>22</v>
      </c>
      <c r="O62" t="s">
        <v>424</v>
      </c>
      <c r="P62" s="5">
        <v>2290000</v>
      </c>
      <c r="Q62" t="s">
        <v>471</v>
      </c>
    </row>
    <row r="63" spans="1:17" x14ac:dyDescent="0.25">
      <c r="A63" t="s">
        <v>222</v>
      </c>
      <c r="B63" t="s">
        <v>223</v>
      </c>
      <c r="C63" t="s">
        <v>224</v>
      </c>
      <c r="D63">
        <v>2117</v>
      </c>
      <c r="E63" t="s">
        <v>38</v>
      </c>
      <c r="F63" t="s">
        <v>226</v>
      </c>
      <c r="G63" t="s">
        <v>401</v>
      </c>
      <c r="H63" t="s">
        <v>460</v>
      </c>
      <c r="I63" t="s">
        <v>456</v>
      </c>
      <c r="J63" t="s">
        <v>20</v>
      </c>
      <c r="K63" t="s">
        <v>457</v>
      </c>
      <c r="L63" t="s">
        <v>225</v>
      </c>
      <c r="M63">
        <v>25</v>
      </c>
      <c r="N63" t="s">
        <v>22</v>
      </c>
      <c r="O63" t="s">
        <v>424</v>
      </c>
      <c r="P63" s="5">
        <v>2300000</v>
      </c>
      <c r="Q63" t="s">
        <v>471</v>
      </c>
    </row>
    <row r="64" spans="1:17" x14ac:dyDescent="0.25">
      <c r="A64" t="s">
        <v>82</v>
      </c>
      <c r="B64" t="s">
        <v>83</v>
      </c>
      <c r="C64" t="s">
        <v>60</v>
      </c>
      <c r="D64">
        <v>2208</v>
      </c>
      <c r="E64" t="s">
        <v>38</v>
      </c>
      <c r="F64" t="s">
        <v>84</v>
      </c>
      <c r="G64" t="s">
        <v>401</v>
      </c>
      <c r="H64" t="s">
        <v>459</v>
      </c>
      <c r="I64" t="s">
        <v>456</v>
      </c>
      <c r="J64" t="s">
        <v>20</v>
      </c>
      <c r="K64" t="s">
        <v>457</v>
      </c>
      <c r="L64" t="s">
        <v>85</v>
      </c>
      <c r="M64">
        <v>20</v>
      </c>
      <c r="N64" t="s">
        <v>22</v>
      </c>
      <c r="O64" t="s">
        <v>424</v>
      </c>
      <c r="P64" s="5">
        <v>2350000</v>
      </c>
      <c r="Q64" t="s">
        <v>471</v>
      </c>
    </row>
    <row r="65" spans="1:17" x14ac:dyDescent="0.25">
      <c r="A65" t="s">
        <v>220</v>
      </c>
      <c r="B65" t="s">
        <v>221</v>
      </c>
      <c r="C65" t="s">
        <v>195</v>
      </c>
      <c r="D65">
        <v>2150</v>
      </c>
      <c r="E65" t="s">
        <v>38</v>
      </c>
      <c r="F65" t="s">
        <v>197</v>
      </c>
      <c r="G65" t="s">
        <v>401</v>
      </c>
      <c r="H65" t="s">
        <v>460</v>
      </c>
      <c r="I65" t="s">
        <v>457</v>
      </c>
      <c r="J65" t="s">
        <v>20</v>
      </c>
      <c r="K65" t="s">
        <v>456</v>
      </c>
      <c r="L65" t="s">
        <v>196</v>
      </c>
      <c r="M65">
        <v>14</v>
      </c>
      <c r="N65" t="s">
        <v>22</v>
      </c>
      <c r="O65" t="s">
        <v>424</v>
      </c>
      <c r="P65" s="5">
        <v>2500000</v>
      </c>
      <c r="Q65" t="s">
        <v>472</v>
      </c>
    </row>
    <row r="66" spans="1:17" x14ac:dyDescent="0.25">
      <c r="A66" t="s">
        <v>214</v>
      </c>
      <c r="B66" t="s">
        <v>215</v>
      </c>
      <c r="C66" t="s">
        <v>216</v>
      </c>
      <c r="D66">
        <v>2150</v>
      </c>
      <c r="E66" t="s">
        <v>219</v>
      </c>
      <c r="F66" t="s">
        <v>218</v>
      </c>
      <c r="G66" t="s">
        <v>401</v>
      </c>
      <c r="H66" t="s">
        <v>466</v>
      </c>
      <c r="I66" t="s">
        <v>467</v>
      </c>
      <c r="J66" t="s">
        <v>20</v>
      </c>
      <c r="K66" t="s">
        <v>457</v>
      </c>
      <c r="L66" t="s">
        <v>217</v>
      </c>
      <c r="M66">
        <v>26</v>
      </c>
      <c r="N66" t="s">
        <v>22</v>
      </c>
      <c r="O66" t="s">
        <v>424</v>
      </c>
      <c r="P66" s="5">
        <v>2650000</v>
      </c>
      <c r="Q66" t="s">
        <v>472</v>
      </c>
    </row>
    <row r="67" spans="1:17" x14ac:dyDescent="0.25">
      <c r="A67" t="s">
        <v>214</v>
      </c>
      <c r="B67" t="s">
        <v>215</v>
      </c>
      <c r="C67" t="s">
        <v>216</v>
      </c>
      <c r="D67">
        <v>2150</v>
      </c>
      <c r="E67" t="s">
        <v>18</v>
      </c>
      <c r="F67" t="s">
        <v>218</v>
      </c>
      <c r="G67" t="s">
        <v>401</v>
      </c>
      <c r="H67" t="s">
        <v>466</v>
      </c>
      <c r="I67" t="s">
        <v>466</v>
      </c>
      <c r="J67" t="s">
        <v>20</v>
      </c>
      <c r="K67" t="s">
        <v>457</v>
      </c>
      <c r="L67" t="s">
        <v>217</v>
      </c>
      <c r="M67">
        <v>27</v>
      </c>
      <c r="N67" t="s">
        <v>22</v>
      </c>
      <c r="O67" t="s">
        <v>424</v>
      </c>
      <c r="P67" s="5">
        <v>2650000</v>
      </c>
      <c r="Q67" t="s">
        <v>472</v>
      </c>
    </row>
    <row r="68" spans="1:17" x14ac:dyDescent="0.25">
      <c r="A68" t="s">
        <v>208</v>
      </c>
      <c r="B68" t="s">
        <v>209</v>
      </c>
      <c r="C68" t="s">
        <v>210</v>
      </c>
      <c r="D68">
        <v>2152</v>
      </c>
      <c r="E68" t="s">
        <v>38</v>
      </c>
      <c r="F68" t="s">
        <v>212</v>
      </c>
      <c r="G68" t="s">
        <v>401</v>
      </c>
      <c r="H68" t="s">
        <v>460</v>
      </c>
      <c r="I68" t="s">
        <v>458</v>
      </c>
      <c r="J68" t="s">
        <v>20</v>
      </c>
      <c r="K68" t="s">
        <v>457</v>
      </c>
      <c r="L68" t="s">
        <v>211</v>
      </c>
      <c r="M68">
        <v>15</v>
      </c>
      <c r="N68" t="s">
        <v>22</v>
      </c>
      <c r="O68" t="s">
        <v>424</v>
      </c>
      <c r="P68" s="5">
        <v>2850000</v>
      </c>
      <c r="Q68" t="s">
        <v>472</v>
      </c>
    </row>
    <row r="69" spans="1:17" x14ac:dyDescent="0.25">
      <c r="A69" t="s">
        <v>204</v>
      </c>
      <c r="B69" t="s">
        <v>205</v>
      </c>
      <c r="C69" t="s">
        <v>200</v>
      </c>
      <c r="D69">
        <v>2121</v>
      </c>
      <c r="E69" t="s">
        <v>38</v>
      </c>
      <c r="F69" t="s">
        <v>207</v>
      </c>
      <c r="G69" t="s">
        <v>401</v>
      </c>
      <c r="H69" t="s">
        <v>457</v>
      </c>
      <c r="I69" t="s">
        <v>458</v>
      </c>
      <c r="J69" t="s">
        <v>20</v>
      </c>
      <c r="K69" t="s">
        <v>460</v>
      </c>
      <c r="L69" t="s">
        <v>206</v>
      </c>
      <c r="M69">
        <v>14</v>
      </c>
      <c r="N69" t="s">
        <v>22</v>
      </c>
      <c r="O69" t="s">
        <v>424</v>
      </c>
      <c r="P69" s="5">
        <v>2880000</v>
      </c>
      <c r="Q69" t="s">
        <v>472</v>
      </c>
    </row>
    <row r="70" spans="1:17" x14ac:dyDescent="0.25">
      <c r="A70" t="s">
        <v>198</v>
      </c>
      <c r="B70" t="s">
        <v>199</v>
      </c>
      <c r="C70" t="s">
        <v>200</v>
      </c>
      <c r="D70">
        <v>2121</v>
      </c>
      <c r="E70" t="s">
        <v>38</v>
      </c>
      <c r="F70" t="s">
        <v>202</v>
      </c>
      <c r="G70" t="s">
        <v>401</v>
      </c>
      <c r="H70" t="s">
        <v>460</v>
      </c>
      <c r="I70" t="s">
        <v>457</v>
      </c>
      <c r="J70" t="s">
        <v>20</v>
      </c>
      <c r="K70" t="s">
        <v>457</v>
      </c>
      <c r="L70" t="s">
        <v>201</v>
      </c>
      <c r="M70">
        <v>15</v>
      </c>
      <c r="N70" t="s">
        <v>443</v>
      </c>
      <c r="O70" t="s">
        <v>425</v>
      </c>
      <c r="P70" s="5">
        <v>2995000</v>
      </c>
      <c r="Q70" t="s">
        <v>472</v>
      </c>
    </row>
    <row r="71" spans="1:17" x14ac:dyDescent="0.25">
      <c r="A71" t="s">
        <v>160</v>
      </c>
      <c r="B71" t="s">
        <v>161</v>
      </c>
      <c r="C71" t="s">
        <v>17</v>
      </c>
      <c r="D71">
        <v>2220</v>
      </c>
      <c r="E71" t="s">
        <v>38</v>
      </c>
      <c r="F71" t="s">
        <v>95</v>
      </c>
      <c r="G71" t="s">
        <v>401</v>
      </c>
      <c r="H71" t="s">
        <v>464</v>
      </c>
      <c r="I71" t="s">
        <v>460</v>
      </c>
      <c r="J71" t="s">
        <v>20</v>
      </c>
      <c r="K71" t="s">
        <v>457</v>
      </c>
      <c r="L71" t="s">
        <v>162</v>
      </c>
      <c r="M71">
        <v>15</v>
      </c>
      <c r="N71" t="s">
        <v>22</v>
      </c>
      <c r="O71" t="s">
        <v>424</v>
      </c>
      <c r="P71" s="5">
        <v>3400000</v>
      </c>
      <c r="Q71" t="s">
        <v>473</v>
      </c>
    </row>
    <row r="72" spans="1:17" x14ac:dyDescent="0.25">
      <c r="A72" t="s">
        <v>193</v>
      </c>
      <c r="B72" t="s">
        <v>194</v>
      </c>
      <c r="C72" t="s">
        <v>195</v>
      </c>
      <c r="D72">
        <v>2150</v>
      </c>
      <c r="E72" t="s">
        <v>38</v>
      </c>
      <c r="F72" t="s">
        <v>197</v>
      </c>
      <c r="G72" t="s">
        <v>401</v>
      </c>
      <c r="H72" t="s">
        <v>464</v>
      </c>
      <c r="I72" t="s">
        <v>460</v>
      </c>
      <c r="J72" t="s">
        <v>20</v>
      </c>
      <c r="K72" t="s">
        <v>464</v>
      </c>
      <c r="L72" t="s">
        <v>196</v>
      </c>
      <c r="M72">
        <v>18</v>
      </c>
      <c r="N72" t="s">
        <v>22</v>
      </c>
      <c r="O72" t="s">
        <v>424</v>
      </c>
      <c r="P72" s="5">
        <v>3600000</v>
      </c>
      <c r="Q72" t="s">
        <v>474</v>
      </c>
    </row>
    <row r="73" spans="1:17" x14ac:dyDescent="0.25">
      <c r="A73" t="s">
        <v>58</v>
      </c>
      <c r="B73" t="s">
        <v>59</v>
      </c>
      <c r="C73" t="s">
        <v>60</v>
      </c>
      <c r="D73">
        <v>2208</v>
      </c>
      <c r="E73" t="s">
        <v>18</v>
      </c>
      <c r="F73" t="s">
        <v>61</v>
      </c>
      <c r="G73" t="s">
        <v>401</v>
      </c>
      <c r="H73" t="s">
        <v>457</v>
      </c>
      <c r="I73" t="s">
        <v>457</v>
      </c>
      <c r="J73" t="s">
        <v>20</v>
      </c>
      <c r="K73" t="s">
        <v>458</v>
      </c>
      <c r="L73" t="s">
        <v>62</v>
      </c>
      <c r="M73">
        <v>12</v>
      </c>
      <c r="N73" t="s">
        <v>22</v>
      </c>
      <c r="O73" t="s">
        <v>424</v>
      </c>
      <c r="P73" s="5">
        <v>595000</v>
      </c>
      <c r="Q73" t="s">
        <v>475</v>
      </c>
    </row>
    <row r="74" spans="1:17" x14ac:dyDescent="0.25">
      <c r="A74" t="s">
        <v>93</v>
      </c>
      <c r="B74" t="s">
        <v>94</v>
      </c>
      <c r="C74" t="s">
        <v>17</v>
      </c>
      <c r="D74">
        <v>2220</v>
      </c>
      <c r="E74" t="s">
        <v>18</v>
      </c>
      <c r="F74" t="s">
        <v>95</v>
      </c>
      <c r="G74" t="s">
        <v>401</v>
      </c>
      <c r="H74" t="s">
        <v>458</v>
      </c>
      <c r="I74" t="s">
        <v>458</v>
      </c>
      <c r="J74" t="s">
        <v>20</v>
      </c>
      <c r="K74" t="s">
        <v>458</v>
      </c>
      <c r="L74" t="s">
        <v>96</v>
      </c>
      <c r="M74">
        <v>0</v>
      </c>
      <c r="N74" t="s">
        <v>22</v>
      </c>
      <c r="O74" t="s">
        <v>424</v>
      </c>
      <c r="P74" s="5">
        <v>599000</v>
      </c>
      <c r="Q74" t="s">
        <v>475</v>
      </c>
    </row>
    <row r="75" spans="1:17" x14ac:dyDescent="0.25">
      <c r="A75" t="s">
        <v>158</v>
      </c>
      <c r="B75" t="s">
        <v>159</v>
      </c>
      <c r="C75" t="s">
        <v>17</v>
      </c>
      <c r="D75">
        <v>2220</v>
      </c>
      <c r="E75" t="s">
        <v>18</v>
      </c>
      <c r="F75" t="s">
        <v>118</v>
      </c>
      <c r="G75" t="s">
        <v>401</v>
      </c>
      <c r="H75" t="s">
        <v>458</v>
      </c>
      <c r="I75" t="s">
        <v>458</v>
      </c>
      <c r="J75" t="s">
        <v>20</v>
      </c>
      <c r="K75" t="s">
        <v>458</v>
      </c>
      <c r="L75" t="s">
        <v>119</v>
      </c>
      <c r="M75">
        <v>14</v>
      </c>
      <c r="N75" t="s">
        <v>22</v>
      </c>
      <c r="O75" t="s">
        <v>424</v>
      </c>
      <c r="P75" s="5">
        <v>658000</v>
      </c>
      <c r="Q75" t="s">
        <v>475</v>
      </c>
    </row>
    <row r="76" spans="1:17" x14ac:dyDescent="0.25">
      <c r="A76" t="s">
        <v>154</v>
      </c>
      <c r="B76" t="s">
        <v>155</v>
      </c>
      <c r="C76" t="s">
        <v>17</v>
      </c>
      <c r="D76">
        <v>2220</v>
      </c>
      <c r="E76" t="s">
        <v>18</v>
      </c>
      <c r="F76" t="s">
        <v>156</v>
      </c>
      <c r="G76" t="s">
        <v>401</v>
      </c>
      <c r="H76" t="s">
        <v>458</v>
      </c>
      <c r="I76" t="s">
        <v>458</v>
      </c>
      <c r="J76" t="s">
        <v>20</v>
      </c>
      <c r="K76" t="s">
        <v>458</v>
      </c>
      <c r="L76" t="s">
        <v>157</v>
      </c>
      <c r="M76">
        <v>9</v>
      </c>
      <c r="N76" t="s">
        <v>22</v>
      </c>
      <c r="O76" t="s">
        <v>424</v>
      </c>
      <c r="P76" s="5">
        <v>659000</v>
      </c>
      <c r="Q76" t="s">
        <v>475</v>
      </c>
    </row>
    <row r="77" spans="1:17" x14ac:dyDescent="0.25">
      <c r="A77" t="s">
        <v>152</v>
      </c>
      <c r="B77" t="s">
        <v>153</v>
      </c>
      <c r="C77" t="s">
        <v>17</v>
      </c>
      <c r="D77">
        <v>2220</v>
      </c>
      <c r="E77" t="s">
        <v>18</v>
      </c>
      <c r="F77" t="s">
        <v>47</v>
      </c>
      <c r="G77" t="s">
        <v>401</v>
      </c>
      <c r="H77" t="s">
        <v>457</v>
      </c>
      <c r="I77" t="s">
        <v>457</v>
      </c>
      <c r="J77" t="s">
        <v>20</v>
      </c>
      <c r="K77" t="s">
        <v>458</v>
      </c>
      <c r="L77" t="s">
        <v>48</v>
      </c>
      <c r="M77">
        <v>5</v>
      </c>
      <c r="N77" t="s">
        <v>22</v>
      </c>
      <c r="O77" t="s">
        <v>424</v>
      </c>
      <c r="P77" s="5">
        <v>700000</v>
      </c>
      <c r="Q77" t="s">
        <v>475</v>
      </c>
    </row>
    <row r="78" spans="1:17" x14ac:dyDescent="0.25">
      <c r="A78" t="s">
        <v>41</v>
      </c>
      <c r="B78" t="s">
        <v>42</v>
      </c>
      <c r="C78" t="s">
        <v>17</v>
      </c>
      <c r="D78">
        <v>2220</v>
      </c>
      <c r="E78" t="s">
        <v>18</v>
      </c>
      <c r="F78" t="s">
        <v>43</v>
      </c>
      <c r="G78" t="s">
        <v>401</v>
      </c>
      <c r="H78" t="s">
        <v>458</v>
      </c>
      <c r="I78" t="s">
        <v>458</v>
      </c>
      <c r="J78" t="s">
        <v>20</v>
      </c>
      <c r="K78" t="s">
        <v>458</v>
      </c>
      <c r="L78" t="s">
        <v>44</v>
      </c>
      <c r="M78">
        <v>7</v>
      </c>
      <c r="N78" t="s">
        <v>22</v>
      </c>
      <c r="O78" t="s">
        <v>424</v>
      </c>
      <c r="P78" s="5">
        <v>700000</v>
      </c>
      <c r="Q78" t="s">
        <v>475</v>
      </c>
    </row>
    <row r="79" spans="1:17" x14ac:dyDescent="0.25">
      <c r="A79" t="s">
        <v>45</v>
      </c>
      <c r="B79" t="s">
        <v>46</v>
      </c>
      <c r="C79" t="s">
        <v>17</v>
      </c>
      <c r="D79">
        <v>2220</v>
      </c>
      <c r="E79" t="s">
        <v>18</v>
      </c>
      <c r="F79" t="s">
        <v>47</v>
      </c>
      <c r="G79" t="s">
        <v>401</v>
      </c>
      <c r="H79" t="s">
        <v>457</v>
      </c>
      <c r="I79" t="s">
        <v>457</v>
      </c>
      <c r="J79" t="s">
        <v>20</v>
      </c>
      <c r="K79" t="s">
        <v>458</v>
      </c>
      <c r="L79" t="s">
        <v>48</v>
      </c>
      <c r="M79">
        <v>4</v>
      </c>
      <c r="N79" t="s">
        <v>22</v>
      </c>
      <c r="O79" t="s">
        <v>424</v>
      </c>
      <c r="P79" s="5">
        <v>710000</v>
      </c>
      <c r="Q79" t="s">
        <v>475</v>
      </c>
    </row>
    <row r="80" spans="1:17" x14ac:dyDescent="0.25">
      <c r="A80" t="s">
        <v>150</v>
      </c>
      <c r="B80" t="s">
        <v>151</v>
      </c>
      <c r="C80" t="s">
        <v>60</v>
      </c>
      <c r="D80">
        <v>2208</v>
      </c>
      <c r="E80" t="s">
        <v>18</v>
      </c>
      <c r="F80" t="s">
        <v>148</v>
      </c>
      <c r="G80" t="s">
        <v>401</v>
      </c>
      <c r="H80" t="s">
        <v>457</v>
      </c>
      <c r="I80" t="s">
        <v>457</v>
      </c>
      <c r="J80" t="s">
        <v>20</v>
      </c>
      <c r="K80" t="s">
        <v>458</v>
      </c>
      <c r="L80" t="s">
        <v>149</v>
      </c>
      <c r="M80">
        <v>9</v>
      </c>
      <c r="N80" t="s">
        <v>22</v>
      </c>
      <c r="O80" t="s">
        <v>424</v>
      </c>
      <c r="P80" s="5">
        <v>739000</v>
      </c>
      <c r="Q80" t="s">
        <v>475</v>
      </c>
    </row>
    <row r="81" spans="1:17" x14ac:dyDescent="0.25">
      <c r="A81" t="s">
        <v>89</v>
      </c>
      <c r="B81" t="s">
        <v>90</v>
      </c>
      <c r="C81" t="s">
        <v>37</v>
      </c>
      <c r="D81">
        <v>2210</v>
      </c>
      <c r="E81" t="s">
        <v>18</v>
      </c>
      <c r="F81" t="s">
        <v>91</v>
      </c>
      <c r="G81" t="s">
        <v>401</v>
      </c>
      <c r="H81" t="s">
        <v>457</v>
      </c>
      <c r="I81" t="s">
        <v>457</v>
      </c>
      <c r="J81" t="s">
        <v>20</v>
      </c>
      <c r="K81" t="s">
        <v>458</v>
      </c>
      <c r="L81" t="s">
        <v>92</v>
      </c>
      <c r="M81">
        <v>8</v>
      </c>
      <c r="N81" t="s">
        <v>22</v>
      </c>
      <c r="O81" t="s">
        <v>424</v>
      </c>
      <c r="P81" s="5">
        <v>739000</v>
      </c>
      <c r="Q81" t="s">
        <v>475</v>
      </c>
    </row>
    <row r="82" spans="1:17" x14ac:dyDescent="0.25">
      <c r="A82" t="s">
        <v>146</v>
      </c>
      <c r="B82" t="s">
        <v>147</v>
      </c>
      <c r="C82" t="s">
        <v>60</v>
      </c>
      <c r="D82">
        <v>2208</v>
      </c>
      <c r="E82" t="s">
        <v>18</v>
      </c>
      <c r="F82" t="s">
        <v>148</v>
      </c>
      <c r="G82" t="s">
        <v>72</v>
      </c>
      <c r="H82" t="s">
        <v>457</v>
      </c>
      <c r="I82" t="s">
        <v>457</v>
      </c>
      <c r="J82" t="s">
        <v>20</v>
      </c>
      <c r="K82" t="s">
        <v>458</v>
      </c>
      <c r="L82" t="s">
        <v>149</v>
      </c>
      <c r="M82">
        <v>9</v>
      </c>
      <c r="N82" t="s">
        <v>22</v>
      </c>
      <c r="O82" t="s">
        <v>424</v>
      </c>
      <c r="P82" s="5">
        <v>739500</v>
      </c>
      <c r="Q82" t="s">
        <v>475</v>
      </c>
    </row>
    <row r="83" spans="1:17" x14ac:dyDescent="0.25">
      <c r="A83" t="s">
        <v>143</v>
      </c>
      <c r="B83" t="s">
        <v>144</v>
      </c>
      <c r="C83" t="s">
        <v>17</v>
      </c>
      <c r="D83">
        <v>2220</v>
      </c>
      <c r="E83" t="s">
        <v>18</v>
      </c>
      <c r="F83" t="s">
        <v>95</v>
      </c>
      <c r="G83" t="s">
        <v>401</v>
      </c>
      <c r="H83" t="s">
        <v>457</v>
      </c>
      <c r="I83" t="s">
        <v>457</v>
      </c>
      <c r="J83" t="s">
        <v>20</v>
      </c>
      <c r="K83" t="s">
        <v>458</v>
      </c>
      <c r="L83" t="s">
        <v>145</v>
      </c>
      <c r="M83">
        <v>10</v>
      </c>
      <c r="N83" t="s">
        <v>22</v>
      </c>
      <c r="O83" t="s">
        <v>424</v>
      </c>
      <c r="P83" s="5">
        <v>749000</v>
      </c>
      <c r="Q83" t="s">
        <v>475</v>
      </c>
    </row>
    <row r="84" spans="1:17" x14ac:dyDescent="0.25">
      <c r="A84" t="s">
        <v>140</v>
      </c>
      <c r="B84" t="s">
        <v>141</v>
      </c>
      <c r="C84" t="s">
        <v>37</v>
      </c>
      <c r="D84">
        <v>2210</v>
      </c>
      <c r="E84" t="s">
        <v>18</v>
      </c>
      <c r="F84" t="s">
        <v>95</v>
      </c>
      <c r="G84" t="s">
        <v>401</v>
      </c>
      <c r="H84" t="s">
        <v>457</v>
      </c>
      <c r="I84" t="s">
        <v>457</v>
      </c>
      <c r="J84" t="s">
        <v>20</v>
      </c>
      <c r="K84" t="s">
        <v>458</v>
      </c>
      <c r="L84" t="s">
        <v>142</v>
      </c>
      <c r="M84">
        <v>10</v>
      </c>
      <c r="N84" t="s">
        <v>22</v>
      </c>
      <c r="O84" t="s">
        <v>424</v>
      </c>
      <c r="P84" s="5">
        <v>780000</v>
      </c>
      <c r="Q84" t="s">
        <v>475</v>
      </c>
    </row>
    <row r="85" spans="1:17" x14ac:dyDescent="0.25">
      <c r="A85" t="s">
        <v>86</v>
      </c>
      <c r="B85" t="s">
        <v>87</v>
      </c>
      <c r="C85" t="s">
        <v>17</v>
      </c>
      <c r="D85">
        <v>2220</v>
      </c>
      <c r="E85" t="s">
        <v>18</v>
      </c>
      <c r="F85" t="s">
        <v>65</v>
      </c>
      <c r="G85" t="s">
        <v>401</v>
      </c>
      <c r="H85" t="s">
        <v>457</v>
      </c>
      <c r="I85" t="s">
        <v>457</v>
      </c>
      <c r="J85" t="s">
        <v>20</v>
      </c>
      <c r="K85" t="s">
        <v>458</v>
      </c>
      <c r="L85" t="s">
        <v>88</v>
      </c>
      <c r="M85">
        <v>8</v>
      </c>
      <c r="N85" t="s">
        <v>22</v>
      </c>
      <c r="O85" t="s">
        <v>424</v>
      </c>
      <c r="P85" s="5">
        <v>790000</v>
      </c>
      <c r="Q85" t="s">
        <v>475</v>
      </c>
    </row>
    <row r="86" spans="1:17" x14ac:dyDescent="0.25">
      <c r="A86" t="s">
        <v>24</v>
      </c>
      <c r="B86" t="s">
        <v>25</v>
      </c>
      <c r="C86" t="s">
        <v>17</v>
      </c>
      <c r="D86">
        <v>2220</v>
      </c>
      <c r="E86" t="s">
        <v>18</v>
      </c>
      <c r="F86" t="s">
        <v>19</v>
      </c>
      <c r="G86" t="s">
        <v>401</v>
      </c>
      <c r="H86" t="s">
        <v>457</v>
      </c>
      <c r="I86" t="s">
        <v>457</v>
      </c>
      <c r="J86" t="s">
        <v>20</v>
      </c>
      <c r="K86" t="s">
        <v>458</v>
      </c>
      <c r="L86" t="s">
        <v>21</v>
      </c>
      <c r="M86">
        <v>7</v>
      </c>
      <c r="N86" t="s">
        <v>22</v>
      </c>
      <c r="O86" t="s">
        <v>424</v>
      </c>
      <c r="P86" s="5">
        <v>790000</v>
      </c>
      <c r="Q86" t="s">
        <v>475</v>
      </c>
    </row>
    <row r="87" spans="1:17" x14ac:dyDescent="0.25">
      <c r="A87" t="s">
        <v>86</v>
      </c>
      <c r="B87" t="s">
        <v>87</v>
      </c>
      <c r="C87" t="s">
        <v>17</v>
      </c>
      <c r="D87">
        <v>2220</v>
      </c>
      <c r="E87" t="s">
        <v>18</v>
      </c>
      <c r="F87" t="s">
        <v>47</v>
      </c>
      <c r="G87" t="s">
        <v>401</v>
      </c>
      <c r="H87" t="s">
        <v>457</v>
      </c>
      <c r="I87" t="s">
        <v>456</v>
      </c>
      <c r="J87" t="s">
        <v>20</v>
      </c>
      <c r="K87" t="s">
        <v>458</v>
      </c>
      <c r="L87" t="s">
        <v>88</v>
      </c>
      <c r="M87">
        <v>8</v>
      </c>
      <c r="N87" t="s">
        <v>22</v>
      </c>
      <c r="O87" t="s">
        <v>424</v>
      </c>
      <c r="P87" s="5">
        <v>790000</v>
      </c>
      <c r="Q87" t="s">
        <v>475</v>
      </c>
    </row>
    <row r="88" spans="1:17" x14ac:dyDescent="0.25">
      <c r="A88" t="s">
        <v>136</v>
      </c>
      <c r="B88" t="s">
        <v>137</v>
      </c>
      <c r="C88" t="s">
        <v>17</v>
      </c>
      <c r="D88">
        <v>2220</v>
      </c>
      <c r="E88" t="s">
        <v>18</v>
      </c>
      <c r="F88" t="s">
        <v>138</v>
      </c>
      <c r="G88" t="s">
        <v>401</v>
      </c>
      <c r="H88" t="s">
        <v>457</v>
      </c>
      <c r="I88" t="s">
        <v>457</v>
      </c>
      <c r="J88" t="s">
        <v>20</v>
      </c>
      <c r="K88" t="s">
        <v>458</v>
      </c>
      <c r="L88" t="s">
        <v>139</v>
      </c>
      <c r="M88">
        <v>8</v>
      </c>
      <c r="N88" t="s">
        <v>22</v>
      </c>
      <c r="O88" t="s">
        <v>424</v>
      </c>
      <c r="P88" s="5">
        <v>828000</v>
      </c>
      <c r="Q88" t="s">
        <v>475</v>
      </c>
    </row>
    <row r="89" spans="1:17" x14ac:dyDescent="0.25">
      <c r="A89" t="s">
        <v>15</v>
      </c>
      <c r="B89" t="s">
        <v>16</v>
      </c>
      <c r="C89" t="s">
        <v>17</v>
      </c>
      <c r="D89">
        <v>2220</v>
      </c>
      <c r="E89" t="s">
        <v>18</v>
      </c>
      <c r="F89" t="s">
        <v>19</v>
      </c>
      <c r="G89" t="s">
        <v>401</v>
      </c>
      <c r="H89" t="s">
        <v>457</v>
      </c>
      <c r="I89" t="s">
        <v>457</v>
      </c>
      <c r="J89" t="s">
        <v>20</v>
      </c>
      <c r="K89" t="s">
        <v>458</v>
      </c>
      <c r="L89" t="s">
        <v>21</v>
      </c>
      <c r="M89">
        <v>10</v>
      </c>
      <c r="N89" t="s">
        <v>22</v>
      </c>
      <c r="O89" t="s">
        <v>424</v>
      </c>
      <c r="P89" s="5">
        <v>830000</v>
      </c>
      <c r="Q89" t="s">
        <v>475</v>
      </c>
    </row>
    <row r="90" spans="1:17" x14ac:dyDescent="0.25">
      <c r="A90" t="s">
        <v>30</v>
      </c>
      <c r="B90" t="s">
        <v>31</v>
      </c>
      <c r="C90" t="s">
        <v>32</v>
      </c>
      <c r="D90">
        <v>2223</v>
      </c>
      <c r="E90" t="s">
        <v>18</v>
      </c>
      <c r="F90" t="s">
        <v>33</v>
      </c>
      <c r="G90" t="s">
        <v>401</v>
      </c>
      <c r="H90" t="s">
        <v>457</v>
      </c>
      <c r="I90" t="s">
        <v>457</v>
      </c>
      <c r="J90" t="s">
        <v>20</v>
      </c>
      <c r="K90" t="s">
        <v>458</v>
      </c>
      <c r="L90" t="s">
        <v>34</v>
      </c>
      <c r="M90">
        <v>19</v>
      </c>
      <c r="N90" t="s">
        <v>22</v>
      </c>
      <c r="O90" t="s">
        <v>424</v>
      </c>
      <c r="P90" s="5">
        <v>880000</v>
      </c>
      <c r="Q90" t="s">
        <v>475</v>
      </c>
    </row>
    <row r="91" spans="1:17" x14ac:dyDescent="0.25">
      <c r="A91" t="s">
        <v>132</v>
      </c>
      <c r="B91" t="s">
        <v>133</v>
      </c>
      <c r="C91" t="s">
        <v>17</v>
      </c>
      <c r="D91">
        <v>2220</v>
      </c>
      <c r="E91" t="s">
        <v>18</v>
      </c>
      <c r="F91" t="s">
        <v>134</v>
      </c>
      <c r="G91" t="s">
        <v>401</v>
      </c>
      <c r="H91" t="s">
        <v>457</v>
      </c>
      <c r="I91" t="s">
        <v>457</v>
      </c>
      <c r="J91" t="s">
        <v>20</v>
      </c>
      <c r="K91" t="s">
        <v>458</v>
      </c>
      <c r="L91" t="s">
        <v>135</v>
      </c>
      <c r="M91">
        <v>6</v>
      </c>
      <c r="N91" t="s">
        <v>22</v>
      </c>
      <c r="O91" t="s">
        <v>424</v>
      </c>
      <c r="P91" s="5">
        <v>895000</v>
      </c>
      <c r="Q91" t="s">
        <v>475</v>
      </c>
    </row>
    <row r="92" spans="1:17" x14ac:dyDescent="0.25">
      <c r="A92" t="s">
        <v>128</v>
      </c>
      <c r="B92" t="s">
        <v>129</v>
      </c>
      <c r="C92" t="s">
        <v>17</v>
      </c>
      <c r="D92">
        <v>2220</v>
      </c>
      <c r="E92" t="s">
        <v>18</v>
      </c>
      <c r="F92" t="s">
        <v>130</v>
      </c>
      <c r="G92" t="s">
        <v>401</v>
      </c>
      <c r="H92" t="s">
        <v>457</v>
      </c>
      <c r="I92" t="s">
        <v>457</v>
      </c>
      <c r="J92" t="s">
        <v>20</v>
      </c>
      <c r="K92" t="s">
        <v>458</v>
      </c>
      <c r="L92" t="s">
        <v>131</v>
      </c>
      <c r="M92">
        <v>0</v>
      </c>
      <c r="N92" t="s">
        <v>22</v>
      </c>
      <c r="O92" t="s">
        <v>424</v>
      </c>
      <c r="P92" s="5">
        <v>899000</v>
      </c>
      <c r="Q92" t="s">
        <v>475</v>
      </c>
    </row>
    <row r="93" spans="1:17" x14ac:dyDescent="0.25">
      <c r="A93" t="s">
        <v>74</v>
      </c>
      <c r="B93" t="s">
        <v>75</v>
      </c>
      <c r="C93" t="s">
        <v>17</v>
      </c>
      <c r="D93">
        <v>2220</v>
      </c>
      <c r="E93" t="s">
        <v>18</v>
      </c>
      <c r="F93" t="s">
        <v>76</v>
      </c>
      <c r="G93" t="s">
        <v>401</v>
      </c>
      <c r="H93" t="s">
        <v>457</v>
      </c>
      <c r="I93" t="s">
        <v>457</v>
      </c>
      <c r="J93" t="s">
        <v>20</v>
      </c>
      <c r="K93" t="s">
        <v>458</v>
      </c>
      <c r="L93" t="s">
        <v>77</v>
      </c>
      <c r="M93">
        <v>31</v>
      </c>
      <c r="N93" t="s">
        <v>22</v>
      </c>
      <c r="O93" t="s">
        <v>424</v>
      </c>
      <c r="P93" s="5">
        <v>915000</v>
      </c>
      <c r="Q93" t="s">
        <v>475</v>
      </c>
    </row>
    <row r="94" spans="1:17" x14ac:dyDescent="0.25">
      <c r="A94" t="s">
        <v>124</v>
      </c>
      <c r="B94" t="s">
        <v>125</v>
      </c>
      <c r="C94" t="s">
        <v>32</v>
      </c>
      <c r="D94">
        <v>2223</v>
      </c>
      <c r="E94" t="s">
        <v>18</v>
      </c>
      <c r="F94" t="s">
        <v>126</v>
      </c>
      <c r="G94" t="s">
        <v>401</v>
      </c>
      <c r="H94" t="s">
        <v>457</v>
      </c>
      <c r="I94" t="s">
        <v>457</v>
      </c>
      <c r="J94" t="s">
        <v>20</v>
      </c>
      <c r="K94" t="s">
        <v>458</v>
      </c>
      <c r="L94" t="s">
        <v>127</v>
      </c>
      <c r="M94">
        <v>10</v>
      </c>
      <c r="N94" t="s">
        <v>444</v>
      </c>
      <c r="O94" t="s">
        <v>425</v>
      </c>
      <c r="P94" s="5">
        <v>919950</v>
      </c>
      <c r="Q94" t="s">
        <v>475</v>
      </c>
    </row>
    <row r="95" spans="1:17" x14ac:dyDescent="0.25">
      <c r="A95" t="s">
        <v>120</v>
      </c>
      <c r="B95" t="s">
        <v>121</v>
      </c>
      <c r="C95" t="s">
        <v>17</v>
      </c>
      <c r="D95">
        <v>2220</v>
      </c>
      <c r="E95" t="s">
        <v>18</v>
      </c>
      <c r="F95" t="s">
        <v>122</v>
      </c>
      <c r="G95" t="s">
        <v>401</v>
      </c>
      <c r="H95" t="s">
        <v>457</v>
      </c>
      <c r="I95" t="s">
        <v>457</v>
      </c>
      <c r="J95" t="s">
        <v>20</v>
      </c>
      <c r="K95" t="s">
        <v>458</v>
      </c>
      <c r="L95" t="s">
        <v>123</v>
      </c>
      <c r="M95">
        <v>6</v>
      </c>
      <c r="N95" t="s">
        <v>22</v>
      </c>
      <c r="O95" t="s">
        <v>424</v>
      </c>
      <c r="P95" s="5">
        <v>920000</v>
      </c>
      <c r="Q95" t="s">
        <v>475</v>
      </c>
    </row>
    <row r="96" spans="1:17" x14ac:dyDescent="0.25">
      <c r="A96" t="s">
        <v>116</v>
      </c>
      <c r="B96" t="s">
        <v>117</v>
      </c>
      <c r="C96" t="s">
        <v>17</v>
      </c>
      <c r="D96">
        <v>2220</v>
      </c>
      <c r="E96" t="s">
        <v>18</v>
      </c>
      <c r="F96" t="s">
        <v>118</v>
      </c>
      <c r="G96" t="s">
        <v>401</v>
      </c>
      <c r="H96" t="s">
        <v>457</v>
      </c>
      <c r="I96" t="s">
        <v>457</v>
      </c>
      <c r="J96" t="s">
        <v>20</v>
      </c>
      <c r="K96" t="s">
        <v>458</v>
      </c>
      <c r="L96" t="s">
        <v>119</v>
      </c>
      <c r="M96">
        <v>16</v>
      </c>
      <c r="N96" t="s">
        <v>22</v>
      </c>
      <c r="O96" t="s">
        <v>424</v>
      </c>
      <c r="P96" s="5">
        <v>938000</v>
      </c>
      <c r="Q96" t="s">
        <v>475</v>
      </c>
    </row>
    <row r="97" spans="1:17" x14ac:dyDescent="0.25">
      <c r="A97" t="s">
        <v>112</v>
      </c>
      <c r="B97" t="s">
        <v>113</v>
      </c>
      <c r="C97" t="s">
        <v>17</v>
      </c>
      <c r="D97">
        <v>2220</v>
      </c>
      <c r="E97" t="s">
        <v>18</v>
      </c>
      <c r="F97" t="s">
        <v>114</v>
      </c>
      <c r="G97" t="s">
        <v>401</v>
      </c>
      <c r="H97" t="s">
        <v>457</v>
      </c>
      <c r="I97" t="s">
        <v>457</v>
      </c>
      <c r="J97" t="s">
        <v>20</v>
      </c>
      <c r="K97" t="s">
        <v>457</v>
      </c>
      <c r="L97" t="s">
        <v>115</v>
      </c>
      <c r="M97">
        <v>16</v>
      </c>
      <c r="N97" t="s">
        <v>22</v>
      </c>
      <c r="O97" t="s">
        <v>424</v>
      </c>
      <c r="P97" s="5">
        <v>950000</v>
      </c>
      <c r="Q97" t="s">
        <v>475</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DB9E1-AAEB-4805-B06D-549F55319C3D}">
  <dimension ref="A3:B11"/>
  <sheetViews>
    <sheetView workbookViewId="0">
      <selection activeCell="B11" sqref="A3:B11"/>
    </sheetView>
  </sheetViews>
  <sheetFormatPr defaultRowHeight="15" x14ac:dyDescent="0.25"/>
  <cols>
    <col min="1" max="1" width="13.42578125" bestFit="1" customWidth="1"/>
    <col min="2" max="2" width="19.42578125" bestFit="1" customWidth="1"/>
    <col min="3" max="3" width="17.85546875" bestFit="1" customWidth="1"/>
  </cols>
  <sheetData>
    <row r="3" spans="1:2" x14ac:dyDescent="0.25">
      <c r="A3" s="3" t="s">
        <v>426</v>
      </c>
      <c r="B3" t="s">
        <v>432</v>
      </c>
    </row>
    <row r="4" spans="1:2" x14ac:dyDescent="0.25">
      <c r="A4" s="4" t="s">
        <v>475</v>
      </c>
      <c r="B4">
        <v>25</v>
      </c>
    </row>
    <row r="5" spans="1:2" x14ac:dyDescent="0.25">
      <c r="A5" s="4" t="s">
        <v>470</v>
      </c>
      <c r="B5">
        <v>28</v>
      </c>
    </row>
    <row r="6" spans="1:2" x14ac:dyDescent="0.25">
      <c r="A6" s="4" t="s">
        <v>469</v>
      </c>
      <c r="B6">
        <v>26</v>
      </c>
    </row>
    <row r="7" spans="1:2" x14ac:dyDescent="0.25">
      <c r="A7" s="4" t="s">
        <v>472</v>
      </c>
      <c r="B7">
        <v>6</v>
      </c>
    </row>
    <row r="8" spans="1:2" x14ac:dyDescent="0.25">
      <c r="A8" s="4" t="s">
        <v>471</v>
      </c>
      <c r="B8">
        <v>9</v>
      </c>
    </row>
    <row r="9" spans="1:2" x14ac:dyDescent="0.25">
      <c r="A9" s="4" t="s">
        <v>474</v>
      </c>
      <c r="B9">
        <v>1</v>
      </c>
    </row>
    <row r="10" spans="1:2" x14ac:dyDescent="0.25">
      <c r="A10" s="4" t="s">
        <v>473</v>
      </c>
      <c r="B10">
        <v>1</v>
      </c>
    </row>
    <row r="11" spans="1:2" x14ac:dyDescent="0.25">
      <c r="A11" s="4" t="s">
        <v>427</v>
      </c>
      <c r="B11">
        <v>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77CE2-A3BB-40BE-93B2-14E980942FAE}">
  <dimension ref="A3:P246"/>
  <sheetViews>
    <sheetView topLeftCell="A227" zoomScale="93" zoomScaleNormal="93" workbookViewId="0">
      <selection activeCell="B239" sqref="B239"/>
    </sheetView>
  </sheetViews>
  <sheetFormatPr defaultRowHeight="15" x14ac:dyDescent="0.25"/>
  <cols>
    <col min="1" max="1" width="13.42578125" bestFit="1" customWidth="1"/>
    <col min="2" max="2" width="19.42578125" bestFit="1" customWidth="1"/>
    <col min="3" max="3" width="7.42578125" bestFit="1" customWidth="1"/>
    <col min="4" max="4" width="6.85546875" bestFit="1" customWidth="1"/>
    <col min="5" max="5" width="5.28515625" bestFit="1" customWidth="1"/>
    <col min="6" max="6" width="6.140625" bestFit="1" customWidth="1"/>
    <col min="7" max="7" width="11.28515625" bestFit="1" customWidth="1"/>
    <col min="8" max="8" width="4.85546875" bestFit="1" customWidth="1"/>
    <col min="9" max="10" width="11.28515625" bestFit="1" customWidth="1"/>
    <col min="11" max="11" width="2" bestFit="1" customWidth="1"/>
    <col min="12" max="12" width="11.28515625" bestFit="1" customWidth="1"/>
    <col min="13" max="13" width="16.85546875" bestFit="1" customWidth="1"/>
    <col min="14" max="14" width="9.5703125" bestFit="1" customWidth="1"/>
    <col min="15" max="15" width="9.85546875" bestFit="1" customWidth="1"/>
    <col min="16" max="16" width="11.28515625" bestFit="1" customWidth="1"/>
    <col min="17" max="17" width="6.85546875" bestFit="1" customWidth="1"/>
    <col min="18" max="18" width="15.140625" bestFit="1" customWidth="1"/>
    <col min="19" max="19" width="10.7109375" bestFit="1" customWidth="1"/>
    <col min="20" max="20" width="10" bestFit="1" customWidth="1"/>
    <col min="21" max="21" width="10.140625" bestFit="1" customWidth="1"/>
    <col min="22" max="22" width="15" bestFit="1" customWidth="1"/>
    <col min="23" max="23" width="11.28515625" bestFit="1" customWidth="1"/>
    <col min="24" max="24" width="16.7109375" bestFit="1" customWidth="1"/>
    <col min="25" max="25" width="16" bestFit="1" customWidth="1"/>
    <col min="26" max="26" width="16.7109375" bestFit="1" customWidth="1"/>
    <col min="27" max="27" width="16" bestFit="1" customWidth="1"/>
    <col min="28" max="28" width="16.7109375" bestFit="1" customWidth="1"/>
    <col min="29" max="29" width="16" bestFit="1" customWidth="1"/>
    <col min="30" max="30" width="16.7109375" bestFit="1" customWidth="1"/>
    <col min="31" max="31" width="16" bestFit="1" customWidth="1"/>
    <col min="32" max="32" width="16.7109375" bestFit="1" customWidth="1"/>
    <col min="33" max="33" width="16" bestFit="1" customWidth="1"/>
    <col min="34" max="34" width="16.7109375" bestFit="1" customWidth="1"/>
    <col min="35" max="35" width="16" bestFit="1" customWidth="1"/>
    <col min="36" max="36" width="16.7109375" bestFit="1" customWidth="1"/>
    <col min="37" max="37" width="16" bestFit="1" customWidth="1"/>
    <col min="38" max="38" width="16.7109375" bestFit="1" customWidth="1"/>
    <col min="39" max="39" width="16" bestFit="1" customWidth="1"/>
    <col min="40" max="40" width="16.7109375" bestFit="1" customWidth="1"/>
    <col min="41" max="41" width="16" bestFit="1" customWidth="1"/>
    <col min="42" max="42" width="16.7109375" bestFit="1" customWidth="1"/>
    <col min="43" max="43" width="16" bestFit="1" customWidth="1"/>
    <col min="44" max="44" width="16.7109375" bestFit="1" customWidth="1"/>
    <col min="45" max="45" width="16" bestFit="1" customWidth="1"/>
    <col min="46" max="46" width="16.7109375" bestFit="1" customWidth="1"/>
    <col min="47" max="47" width="16" bestFit="1" customWidth="1"/>
    <col min="48" max="48" width="16.7109375" bestFit="1" customWidth="1"/>
    <col min="49" max="49" width="16" bestFit="1" customWidth="1"/>
    <col min="50" max="50" width="16.7109375" bestFit="1" customWidth="1"/>
    <col min="51" max="51" width="16" bestFit="1" customWidth="1"/>
    <col min="52" max="52" width="16.7109375" bestFit="1" customWidth="1"/>
    <col min="53" max="53" width="16" bestFit="1" customWidth="1"/>
    <col min="54" max="54" width="16.7109375" bestFit="1" customWidth="1"/>
    <col min="55" max="55" width="16" bestFit="1" customWidth="1"/>
    <col min="56" max="56" width="16.7109375" bestFit="1" customWidth="1"/>
    <col min="57" max="57" width="16" bestFit="1" customWidth="1"/>
    <col min="58" max="58" width="16.7109375" bestFit="1" customWidth="1"/>
    <col min="59" max="59" width="16" bestFit="1" customWidth="1"/>
    <col min="60" max="60" width="16.7109375" bestFit="1" customWidth="1"/>
    <col min="61" max="61" width="16" bestFit="1" customWidth="1"/>
    <col min="62" max="62" width="16.7109375" bestFit="1" customWidth="1"/>
    <col min="63" max="63" width="16" bestFit="1" customWidth="1"/>
    <col min="64" max="64" width="16.7109375" bestFit="1" customWidth="1"/>
    <col min="65" max="65" width="16" bestFit="1" customWidth="1"/>
    <col min="66" max="66" width="16.7109375" bestFit="1" customWidth="1"/>
    <col min="67" max="67" width="16" bestFit="1" customWidth="1"/>
    <col min="68" max="68" width="16.7109375" bestFit="1" customWidth="1"/>
    <col min="69" max="69" width="16" bestFit="1" customWidth="1"/>
    <col min="70" max="70" width="16.7109375" bestFit="1" customWidth="1"/>
    <col min="71" max="71" width="16" bestFit="1" customWidth="1"/>
    <col min="72" max="72" width="16.7109375" bestFit="1" customWidth="1"/>
    <col min="73" max="73" width="16" bestFit="1" customWidth="1"/>
    <col min="74" max="74" width="16.7109375" bestFit="1" customWidth="1"/>
    <col min="75" max="75" width="16" bestFit="1" customWidth="1"/>
    <col min="76" max="76" width="16.7109375" bestFit="1" customWidth="1"/>
    <col min="77" max="77" width="16" bestFit="1" customWidth="1"/>
    <col min="78" max="78" width="16.7109375" bestFit="1" customWidth="1"/>
    <col min="79" max="79" width="16" bestFit="1" customWidth="1"/>
    <col min="80" max="80" width="16.7109375" bestFit="1" customWidth="1"/>
    <col min="81" max="81" width="16" bestFit="1" customWidth="1"/>
    <col min="82" max="82" width="16.7109375" bestFit="1" customWidth="1"/>
    <col min="83" max="83" width="16" bestFit="1" customWidth="1"/>
    <col min="84" max="84" width="16.7109375" bestFit="1" customWidth="1"/>
    <col min="85" max="85" width="16" bestFit="1" customWidth="1"/>
    <col min="86" max="86" width="16.7109375" bestFit="1" customWidth="1"/>
    <col min="87" max="87" width="16" bestFit="1" customWidth="1"/>
    <col min="88" max="88" width="16.7109375" bestFit="1" customWidth="1"/>
    <col min="89" max="89" width="16" bestFit="1" customWidth="1"/>
    <col min="90" max="90" width="16.7109375" bestFit="1" customWidth="1"/>
    <col min="91" max="91" width="16" bestFit="1" customWidth="1"/>
    <col min="92" max="92" width="16.7109375" bestFit="1" customWidth="1"/>
    <col min="93" max="93" width="16" bestFit="1" customWidth="1"/>
    <col min="94" max="94" width="16.7109375" bestFit="1" customWidth="1"/>
    <col min="95" max="95" width="16" bestFit="1" customWidth="1"/>
    <col min="96" max="96" width="16.7109375" bestFit="1" customWidth="1"/>
    <col min="97" max="97" width="16" bestFit="1" customWidth="1"/>
    <col min="98" max="98" width="16.7109375" bestFit="1" customWidth="1"/>
    <col min="99" max="99" width="16" bestFit="1" customWidth="1"/>
    <col min="100" max="100" width="16.7109375" bestFit="1" customWidth="1"/>
    <col min="101" max="101" width="16" bestFit="1" customWidth="1"/>
    <col min="102" max="102" width="16.7109375" bestFit="1" customWidth="1"/>
    <col min="103" max="103" width="16" bestFit="1" customWidth="1"/>
    <col min="104" max="104" width="16.7109375" bestFit="1" customWidth="1"/>
    <col min="105" max="105" width="16" bestFit="1" customWidth="1"/>
    <col min="106" max="106" width="16.7109375" bestFit="1" customWidth="1"/>
    <col min="107" max="107" width="16" bestFit="1" customWidth="1"/>
    <col min="108" max="108" width="16.7109375" bestFit="1" customWidth="1"/>
    <col min="109" max="109" width="16" bestFit="1" customWidth="1"/>
    <col min="110" max="110" width="16.7109375" bestFit="1" customWidth="1"/>
    <col min="111" max="111" width="16" bestFit="1" customWidth="1"/>
    <col min="112" max="112" width="16.7109375" bestFit="1" customWidth="1"/>
    <col min="113" max="113" width="16" bestFit="1" customWidth="1"/>
    <col min="114" max="114" width="16.7109375" bestFit="1" customWidth="1"/>
    <col min="115" max="115" width="16" bestFit="1" customWidth="1"/>
    <col min="116" max="116" width="16.7109375" bestFit="1" customWidth="1"/>
    <col min="117" max="117" width="16" bestFit="1" customWidth="1"/>
    <col min="118" max="118" width="16.7109375" bestFit="1" customWidth="1"/>
    <col min="119" max="119" width="16" bestFit="1" customWidth="1"/>
    <col min="120" max="120" width="16.7109375" bestFit="1" customWidth="1"/>
    <col min="121" max="121" width="16" bestFit="1" customWidth="1"/>
    <col min="122" max="122" width="16.7109375" bestFit="1" customWidth="1"/>
    <col min="123" max="123" width="16" bestFit="1" customWidth="1"/>
    <col min="124" max="124" width="16.7109375" bestFit="1" customWidth="1"/>
    <col min="125" max="125" width="16" bestFit="1" customWidth="1"/>
    <col min="126" max="126" width="16.7109375" bestFit="1" customWidth="1"/>
    <col min="127" max="127" width="16" bestFit="1" customWidth="1"/>
    <col min="128" max="128" width="16.7109375" bestFit="1" customWidth="1"/>
    <col min="129" max="129" width="16" bestFit="1" customWidth="1"/>
    <col min="130" max="130" width="16.7109375" bestFit="1" customWidth="1"/>
    <col min="131" max="131" width="16" bestFit="1" customWidth="1"/>
    <col min="132" max="132" width="16.7109375" bestFit="1" customWidth="1"/>
    <col min="133" max="133" width="16" bestFit="1" customWidth="1"/>
    <col min="134" max="134" width="16.7109375" bestFit="1" customWidth="1"/>
    <col min="135" max="135" width="16" bestFit="1" customWidth="1"/>
    <col min="136" max="136" width="16.7109375" bestFit="1" customWidth="1"/>
    <col min="137" max="137" width="16" bestFit="1" customWidth="1"/>
    <col min="138" max="138" width="16.7109375" bestFit="1" customWidth="1"/>
    <col min="139" max="139" width="16" bestFit="1" customWidth="1"/>
    <col min="140" max="140" width="21.85546875" bestFit="1" customWidth="1"/>
    <col min="141" max="141" width="21" bestFit="1" customWidth="1"/>
  </cols>
  <sheetData>
    <row r="3" spans="1:2" x14ac:dyDescent="0.25">
      <c r="A3" s="3" t="s">
        <v>426</v>
      </c>
      <c r="B3" t="s">
        <v>429</v>
      </c>
    </row>
    <row r="4" spans="1:2" x14ac:dyDescent="0.25">
      <c r="A4" s="4" t="s">
        <v>18</v>
      </c>
      <c r="B4">
        <v>37</v>
      </c>
    </row>
    <row r="5" spans="1:2" x14ac:dyDescent="0.25">
      <c r="A5" s="4" t="s">
        <v>67</v>
      </c>
      <c r="B5">
        <v>1</v>
      </c>
    </row>
    <row r="6" spans="1:2" x14ac:dyDescent="0.25">
      <c r="A6" s="4" t="s">
        <v>38</v>
      </c>
      <c r="B6">
        <v>49</v>
      </c>
    </row>
    <row r="7" spans="1:2" x14ac:dyDescent="0.25">
      <c r="A7" s="4" t="s">
        <v>241</v>
      </c>
      <c r="B7">
        <v>1</v>
      </c>
    </row>
    <row r="8" spans="1:2" x14ac:dyDescent="0.25">
      <c r="A8" s="4" t="s">
        <v>219</v>
      </c>
      <c r="B8">
        <v>1</v>
      </c>
    </row>
    <row r="9" spans="1:2" x14ac:dyDescent="0.25">
      <c r="A9" s="4" t="s">
        <v>169</v>
      </c>
      <c r="B9">
        <v>6</v>
      </c>
    </row>
    <row r="10" spans="1:2" x14ac:dyDescent="0.25">
      <c r="A10" s="4" t="s">
        <v>106</v>
      </c>
      <c r="B10">
        <v>1</v>
      </c>
    </row>
    <row r="11" spans="1:2" x14ac:dyDescent="0.25">
      <c r="A11" s="4" t="s">
        <v>427</v>
      </c>
      <c r="B11">
        <v>96</v>
      </c>
    </row>
    <row r="14" spans="1:2" x14ac:dyDescent="0.25">
      <c r="A14" s="3" t="s">
        <v>426</v>
      </c>
      <c r="B14" t="s">
        <v>428</v>
      </c>
    </row>
    <row r="15" spans="1:2" x14ac:dyDescent="0.25">
      <c r="A15" s="4" t="s">
        <v>200</v>
      </c>
      <c r="B15">
        <v>6</v>
      </c>
    </row>
    <row r="16" spans="1:2" x14ac:dyDescent="0.25">
      <c r="A16" s="4" t="s">
        <v>230</v>
      </c>
      <c r="B16">
        <v>14</v>
      </c>
    </row>
    <row r="17" spans="1:2" x14ac:dyDescent="0.25">
      <c r="A17" s="4" t="s">
        <v>17</v>
      </c>
      <c r="B17">
        <v>28</v>
      </c>
    </row>
    <row r="18" spans="1:2" x14ac:dyDescent="0.25">
      <c r="A18" s="4" t="s">
        <v>216</v>
      </c>
      <c r="B18">
        <v>5</v>
      </c>
    </row>
    <row r="19" spans="1:2" x14ac:dyDescent="0.25">
      <c r="A19" s="4" t="s">
        <v>427</v>
      </c>
      <c r="B19">
        <v>53</v>
      </c>
    </row>
    <row r="22" spans="1:2" x14ac:dyDescent="0.25">
      <c r="A22" s="3" t="s">
        <v>426</v>
      </c>
      <c r="B22" t="s">
        <v>430</v>
      </c>
    </row>
    <row r="23" spans="1:2" x14ac:dyDescent="0.25">
      <c r="A23" s="4" t="s">
        <v>232</v>
      </c>
      <c r="B23">
        <v>10</v>
      </c>
    </row>
    <row r="24" spans="1:2" x14ac:dyDescent="0.25">
      <c r="A24" s="4" t="s">
        <v>47</v>
      </c>
      <c r="B24">
        <v>4</v>
      </c>
    </row>
    <row r="25" spans="1:2" x14ac:dyDescent="0.25">
      <c r="A25" s="4" t="s">
        <v>95</v>
      </c>
      <c r="B25">
        <v>4</v>
      </c>
    </row>
    <row r="26" spans="1:2" x14ac:dyDescent="0.25">
      <c r="A26" s="4" t="s">
        <v>427</v>
      </c>
      <c r="B26">
        <v>18</v>
      </c>
    </row>
    <row r="34" spans="1:2" x14ac:dyDescent="0.25">
      <c r="A34" s="3" t="s">
        <v>426</v>
      </c>
      <c r="B34" t="s">
        <v>428</v>
      </c>
    </row>
    <row r="35" spans="1:2" x14ac:dyDescent="0.25">
      <c r="A35" s="4" t="s">
        <v>18</v>
      </c>
      <c r="B35">
        <v>37</v>
      </c>
    </row>
    <row r="36" spans="1:2" x14ac:dyDescent="0.25">
      <c r="A36" s="4" t="s">
        <v>67</v>
      </c>
      <c r="B36">
        <v>1</v>
      </c>
    </row>
    <row r="37" spans="1:2" x14ac:dyDescent="0.25">
      <c r="A37" s="4" t="s">
        <v>38</v>
      </c>
      <c r="B37">
        <v>49</v>
      </c>
    </row>
    <row r="38" spans="1:2" x14ac:dyDescent="0.25">
      <c r="A38" s="4" t="s">
        <v>241</v>
      </c>
      <c r="B38">
        <v>1</v>
      </c>
    </row>
    <row r="39" spans="1:2" x14ac:dyDescent="0.25">
      <c r="A39" s="4" t="s">
        <v>219</v>
      </c>
      <c r="B39">
        <v>1</v>
      </c>
    </row>
    <row r="40" spans="1:2" x14ac:dyDescent="0.25">
      <c r="A40" s="4" t="s">
        <v>169</v>
      </c>
      <c r="B40">
        <v>6</v>
      </c>
    </row>
    <row r="41" spans="1:2" x14ac:dyDescent="0.25">
      <c r="A41" s="4" t="s">
        <v>106</v>
      </c>
      <c r="B41">
        <v>1</v>
      </c>
    </row>
    <row r="42" spans="1:2" x14ac:dyDescent="0.25">
      <c r="A42" s="4" t="s">
        <v>427</v>
      </c>
      <c r="B42">
        <v>96</v>
      </c>
    </row>
    <row r="67" spans="1:5" x14ac:dyDescent="0.25">
      <c r="A67" s="3" t="s">
        <v>428</v>
      </c>
      <c r="B67" s="3" t="s">
        <v>431</v>
      </c>
    </row>
    <row r="68" spans="1:5" x14ac:dyDescent="0.25">
      <c r="A68" s="3" t="s">
        <v>426</v>
      </c>
      <c r="B68" t="s">
        <v>200</v>
      </c>
      <c r="C68" t="s">
        <v>230</v>
      </c>
      <c r="D68" t="s">
        <v>17</v>
      </c>
      <c r="E68" t="s">
        <v>427</v>
      </c>
    </row>
    <row r="69" spans="1:5" x14ac:dyDescent="0.25">
      <c r="A69" s="4" t="s">
        <v>184</v>
      </c>
      <c r="D69">
        <v>2</v>
      </c>
      <c r="E69">
        <v>2</v>
      </c>
    </row>
    <row r="70" spans="1:5" x14ac:dyDescent="0.25">
      <c r="A70" s="4" t="s">
        <v>247</v>
      </c>
      <c r="C70">
        <v>2</v>
      </c>
      <c r="E70">
        <v>2</v>
      </c>
    </row>
    <row r="71" spans="1:5" x14ac:dyDescent="0.25">
      <c r="A71" s="4" t="s">
        <v>118</v>
      </c>
      <c r="D71">
        <v>2</v>
      </c>
      <c r="E71">
        <v>2</v>
      </c>
    </row>
    <row r="72" spans="1:5" x14ac:dyDescent="0.25">
      <c r="A72" s="4" t="s">
        <v>95</v>
      </c>
      <c r="D72">
        <v>3</v>
      </c>
      <c r="E72">
        <v>3</v>
      </c>
    </row>
    <row r="73" spans="1:5" x14ac:dyDescent="0.25">
      <c r="A73" s="4" t="s">
        <v>321</v>
      </c>
      <c r="B73">
        <v>2</v>
      </c>
      <c r="E73">
        <v>2</v>
      </c>
    </row>
    <row r="74" spans="1:5" x14ac:dyDescent="0.25">
      <c r="A74" s="4" t="s">
        <v>47</v>
      </c>
      <c r="D74">
        <v>4</v>
      </c>
      <c r="E74">
        <v>4</v>
      </c>
    </row>
    <row r="75" spans="1:5" x14ac:dyDescent="0.25">
      <c r="A75" s="4" t="s">
        <v>65</v>
      </c>
      <c r="D75">
        <v>2</v>
      </c>
      <c r="E75">
        <v>2</v>
      </c>
    </row>
    <row r="76" spans="1:5" x14ac:dyDescent="0.25">
      <c r="A76" s="4" t="s">
        <v>232</v>
      </c>
      <c r="C76">
        <v>6</v>
      </c>
      <c r="E76">
        <v>6</v>
      </c>
    </row>
    <row r="77" spans="1:5" x14ac:dyDescent="0.25">
      <c r="A77" s="4" t="s">
        <v>19</v>
      </c>
      <c r="D77">
        <v>2</v>
      </c>
      <c r="E77">
        <v>2</v>
      </c>
    </row>
    <row r="78" spans="1:5" x14ac:dyDescent="0.25">
      <c r="A78" s="4" t="s">
        <v>182</v>
      </c>
      <c r="D78">
        <v>2</v>
      </c>
      <c r="E78">
        <v>2</v>
      </c>
    </row>
    <row r="79" spans="1:5" x14ac:dyDescent="0.25">
      <c r="A79" s="4" t="s">
        <v>427</v>
      </c>
      <c r="B79">
        <v>2</v>
      </c>
      <c r="C79">
        <v>8</v>
      </c>
      <c r="D79">
        <v>17</v>
      </c>
      <c r="E79">
        <v>27</v>
      </c>
    </row>
    <row r="94" spans="1:9" x14ac:dyDescent="0.25">
      <c r="A94" s="3" t="s">
        <v>432</v>
      </c>
      <c r="B94" s="3" t="s">
        <v>431</v>
      </c>
    </row>
    <row r="95" spans="1:9" x14ac:dyDescent="0.25">
      <c r="A95" s="3" t="s">
        <v>426</v>
      </c>
      <c r="B95" t="s">
        <v>18</v>
      </c>
      <c r="C95" t="s">
        <v>67</v>
      </c>
      <c r="D95" t="s">
        <v>38</v>
      </c>
      <c r="E95" t="s">
        <v>241</v>
      </c>
      <c r="F95" t="s">
        <v>219</v>
      </c>
      <c r="G95" t="s">
        <v>169</v>
      </c>
      <c r="H95" t="s">
        <v>106</v>
      </c>
      <c r="I95" t="s">
        <v>427</v>
      </c>
    </row>
    <row r="96" spans="1:9" x14ac:dyDescent="0.25">
      <c r="A96" s="4" t="s">
        <v>81</v>
      </c>
      <c r="G96">
        <v>1</v>
      </c>
      <c r="I96">
        <v>1</v>
      </c>
    </row>
    <row r="97" spans="1:9" x14ac:dyDescent="0.25">
      <c r="A97" s="4" t="s">
        <v>307</v>
      </c>
      <c r="D97">
        <v>1</v>
      </c>
      <c r="I97">
        <v>1</v>
      </c>
    </row>
    <row r="98" spans="1:9" x14ac:dyDescent="0.25">
      <c r="A98" s="4" t="s">
        <v>334</v>
      </c>
      <c r="D98">
        <v>1</v>
      </c>
      <c r="I98">
        <v>1</v>
      </c>
    </row>
    <row r="99" spans="1:9" x14ac:dyDescent="0.25">
      <c r="A99" s="4" t="s">
        <v>200</v>
      </c>
      <c r="B99">
        <v>4</v>
      </c>
      <c r="D99">
        <v>2</v>
      </c>
      <c r="I99">
        <v>6</v>
      </c>
    </row>
    <row r="100" spans="1:9" x14ac:dyDescent="0.25">
      <c r="A100" s="4" t="s">
        <v>263</v>
      </c>
      <c r="D100">
        <v>2</v>
      </c>
      <c r="G100">
        <v>1</v>
      </c>
      <c r="I100">
        <v>3</v>
      </c>
    </row>
    <row r="101" spans="1:9" x14ac:dyDescent="0.25">
      <c r="A101" s="4" t="s">
        <v>240</v>
      </c>
      <c r="D101">
        <v>3</v>
      </c>
      <c r="E101">
        <v>1</v>
      </c>
      <c r="I101">
        <v>4</v>
      </c>
    </row>
    <row r="102" spans="1:9" x14ac:dyDescent="0.25">
      <c r="A102" s="4" t="s">
        <v>230</v>
      </c>
      <c r="D102">
        <v>14</v>
      </c>
      <c r="I102">
        <v>14</v>
      </c>
    </row>
    <row r="103" spans="1:9" x14ac:dyDescent="0.25">
      <c r="A103" s="4" t="s">
        <v>195</v>
      </c>
      <c r="D103">
        <v>2</v>
      </c>
      <c r="I103">
        <v>2</v>
      </c>
    </row>
    <row r="104" spans="1:9" x14ac:dyDescent="0.25">
      <c r="A104" s="4" t="s">
        <v>17</v>
      </c>
      <c r="B104">
        <v>24</v>
      </c>
      <c r="C104">
        <v>1</v>
      </c>
      <c r="D104">
        <v>3</v>
      </c>
      <c r="I104">
        <v>28</v>
      </c>
    </row>
    <row r="105" spans="1:9" x14ac:dyDescent="0.25">
      <c r="A105" s="4" t="s">
        <v>60</v>
      </c>
      <c r="B105">
        <v>3</v>
      </c>
      <c r="D105">
        <v>1</v>
      </c>
      <c r="I105">
        <v>4</v>
      </c>
    </row>
    <row r="106" spans="1:9" x14ac:dyDescent="0.25">
      <c r="A106" s="4" t="s">
        <v>70</v>
      </c>
      <c r="D106">
        <v>4</v>
      </c>
      <c r="I106">
        <v>4</v>
      </c>
    </row>
    <row r="107" spans="1:9" x14ac:dyDescent="0.25">
      <c r="A107" s="4" t="s">
        <v>32</v>
      </c>
      <c r="B107">
        <v>2</v>
      </c>
      <c r="D107">
        <v>1</v>
      </c>
      <c r="I107">
        <v>3</v>
      </c>
    </row>
    <row r="108" spans="1:9" x14ac:dyDescent="0.25">
      <c r="A108" s="4" t="s">
        <v>289</v>
      </c>
      <c r="D108">
        <v>1</v>
      </c>
      <c r="G108">
        <v>1</v>
      </c>
      <c r="I108">
        <v>2</v>
      </c>
    </row>
    <row r="109" spans="1:9" x14ac:dyDescent="0.25">
      <c r="A109" s="4" t="s">
        <v>210</v>
      </c>
      <c r="D109">
        <v>3</v>
      </c>
      <c r="G109">
        <v>1</v>
      </c>
      <c r="I109">
        <v>4</v>
      </c>
    </row>
    <row r="110" spans="1:9" x14ac:dyDescent="0.25">
      <c r="A110" s="4" t="s">
        <v>224</v>
      </c>
      <c r="D110">
        <v>2</v>
      </c>
      <c r="I110">
        <v>2</v>
      </c>
    </row>
    <row r="111" spans="1:9" x14ac:dyDescent="0.25">
      <c r="A111" s="4" t="s">
        <v>105</v>
      </c>
      <c r="H111">
        <v>1</v>
      </c>
      <c r="I111">
        <v>1</v>
      </c>
    </row>
    <row r="112" spans="1:9" x14ac:dyDescent="0.25">
      <c r="A112" s="4" t="s">
        <v>346</v>
      </c>
      <c r="D112">
        <v>2</v>
      </c>
      <c r="I112">
        <v>2</v>
      </c>
    </row>
    <row r="113" spans="1:16" x14ac:dyDescent="0.25">
      <c r="A113" s="4" t="s">
        <v>216</v>
      </c>
      <c r="B113">
        <v>2</v>
      </c>
      <c r="D113">
        <v>1</v>
      </c>
      <c r="F113">
        <v>1</v>
      </c>
      <c r="G113">
        <v>1</v>
      </c>
      <c r="I113">
        <v>5</v>
      </c>
      <c r="M113" s="3" t="s">
        <v>431</v>
      </c>
    </row>
    <row r="114" spans="1:16" x14ac:dyDescent="0.25">
      <c r="A114" s="4" t="s">
        <v>37</v>
      </c>
      <c r="B114">
        <v>2</v>
      </c>
      <c r="D114">
        <v>2</v>
      </c>
      <c r="I114">
        <v>4</v>
      </c>
      <c r="M114" t="s">
        <v>200</v>
      </c>
      <c r="N114" t="s">
        <v>230</v>
      </c>
      <c r="O114" t="s">
        <v>17</v>
      </c>
      <c r="P114" t="s">
        <v>427</v>
      </c>
    </row>
    <row r="115" spans="1:16" x14ac:dyDescent="0.25">
      <c r="A115" s="4" t="s">
        <v>51</v>
      </c>
      <c r="D115">
        <v>3</v>
      </c>
      <c r="G115">
        <v>1</v>
      </c>
      <c r="I115">
        <v>4</v>
      </c>
      <c r="L115" t="s">
        <v>428</v>
      </c>
      <c r="M115">
        <v>6</v>
      </c>
      <c r="N115">
        <v>14</v>
      </c>
      <c r="O115">
        <v>28</v>
      </c>
      <c r="P115">
        <v>48</v>
      </c>
    </row>
    <row r="116" spans="1:16" x14ac:dyDescent="0.25">
      <c r="A116" s="4" t="s">
        <v>325</v>
      </c>
      <c r="D116">
        <v>1</v>
      </c>
      <c r="I116">
        <v>1</v>
      </c>
    </row>
    <row r="117" spans="1:16" x14ac:dyDescent="0.25">
      <c r="A117" s="4" t="s">
        <v>427</v>
      </c>
      <c r="B117">
        <v>37</v>
      </c>
      <c r="C117">
        <v>1</v>
      </c>
      <c r="D117">
        <v>49</v>
      </c>
      <c r="E117">
        <v>1</v>
      </c>
      <c r="F117">
        <v>1</v>
      </c>
      <c r="G117">
        <v>6</v>
      </c>
      <c r="H117">
        <v>1</v>
      </c>
      <c r="I117">
        <v>96</v>
      </c>
    </row>
    <row r="119" spans="1:16" x14ac:dyDescent="0.25">
      <c r="B119" s="3" t="s">
        <v>431</v>
      </c>
    </row>
    <row r="120" spans="1:16" x14ac:dyDescent="0.25">
      <c r="B120" t="s">
        <v>200</v>
      </c>
      <c r="C120" t="s">
        <v>230</v>
      </c>
      <c r="D120" t="s">
        <v>17</v>
      </c>
      <c r="E120" t="s">
        <v>427</v>
      </c>
    </row>
    <row r="121" spans="1:16" x14ac:dyDescent="0.25">
      <c r="A121" t="s">
        <v>428</v>
      </c>
      <c r="B121">
        <v>6</v>
      </c>
      <c r="C121">
        <v>14</v>
      </c>
      <c r="D121">
        <v>28</v>
      </c>
      <c r="E121">
        <v>48</v>
      </c>
    </row>
    <row r="156" spans="1:5" x14ac:dyDescent="0.25">
      <c r="A156" s="3" t="s">
        <v>426</v>
      </c>
      <c r="B156" t="s">
        <v>428</v>
      </c>
      <c r="C156" t="s">
        <v>435</v>
      </c>
      <c r="D156" t="s">
        <v>434</v>
      </c>
      <c r="E156" t="s">
        <v>433</v>
      </c>
    </row>
    <row r="157" spans="1:5" x14ac:dyDescent="0.25">
      <c r="A157" s="4" t="s">
        <v>18</v>
      </c>
      <c r="B157">
        <v>37</v>
      </c>
      <c r="C157">
        <v>48</v>
      </c>
      <c r="D157">
        <v>91</v>
      </c>
      <c r="E157">
        <v>95</v>
      </c>
    </row>
    <row r="158" spans="1:5" x14ac:dyDescent="0.25">
      <c r="A158" s="4" t="s">
        <v>67</v>
      </c>
      <c r="B158">
        <v>1</v>
      </c>
      <c r="C158">
        <v>2</v>
      </c>
      <c r="D158">
        <v>3</v>
      </c>
      <c r="E158">
        <v>4</v>
      </c>
    </row>
    <row r="159" spans="1:5" x14ac:dyDescent="0.25">
      <c r="A159" s="4" t="s">
        <v>38</v>
      </c>
      <c r="B159">
        <v>49</v>
      </c>
      <c r="C159">
        <v>130</v>
      </c>
      <c r="D159">
        <v>126</v>
      </c>
      <c r="E159">
        <v>215</v>
      </c>
    </row>
    <row r="160" spans="1:5" x14ac:dyDescent="0.25">
      <c r="A160" s="4" t="s">
        <v>241</v>
      </c>
      <c r="B160">
        <v>1</v>
      </c>
      <c r="C160">
        <v>0</v>
      </c>
      <c r="D160">
        <v>0</v>
      </c>
      <c r="E160">
        <v>0</v>
      </c>
    </row>
    <row r="161" spans="1:5" x14ac:dyDescent="0.25">
      <c r="A161" s="4" t="s">
        <v>219</v>
      </c>
      <c r="B161">
        <v>1</v>
      </c>
      <c r="C161">
        <v>2</v>
      </c>
      <c r="D161">
        <v>21</v>
      </c>
      <c r="E161">
        <v>20</v>
      </c>
    </row>
    <row r="162" spans="1:5" x14ac:dyDescent="0.25">
      <c r="A162" s="4" t="s">
        <v>169</v>
      </c>
      <c r="B162">
        <v>6</v>
      </c>
      <c r="C162">
        <v>9</v>
      </c>
      <c r="D162">
        <v>15</v>
      </c>
      <c r="E162">
        <v>19</v>
      </c>
    </row>
    <row r="163" spans="1:5" x14ac:dyDescent="0.25">
      <c r="A163" s="4" t="s">
        <v>106</v>
      </c>
      <c r="B163">
        <v>1</v>
      </c>
      <c r="C163">
        <v>1</v>
      </c>
      <c r="D163">
        <v>2</v>
      </c>
      <c r="E163">
        <v>3</v>
      </c>
    </row>
    <row r="164" spans="1:5" x14ac:dyDescent="0.25">
      <c r="A164" s="4" t="s">
        <v>427</v>
      </c>
      <c r="B164">
        <v>96</v>
      </c>
      <c r="C164">
        <v>192</v>
      </c>
      <c r="D164">
        <v>258</v>
      </c>
      <c r="E164">
        <v>356</v>
      </c>
    </row>
    <row r="167" spans="1:5" x14ac:dyDescent="0.25">
      <c r="A167" s="3" t="s">
        <v>426</v>
      </c>
      <c r="B167" t="s">
        <v>428</v>
      </c>
      <c r="C167" t="s">
        <v>435</v>
      </c>
      <c r="D167" t="s">
        <v>434</v>
      </c>
      <c r="E167" t="s">
        <v>433</v>
      </c>
    </row>
    <row r="168" spans="1:5" x14ac:dyDescent="0.25">
      <c r="A168" s="4" t="s">
        <v>18</v>
      </c>
      <c r="B168">
        <v>37</v>
      </c>
      <c r="C168">
        <v>48</v>
      </c>
      <c r="D168">
        <v>91</v>
      </c>
      <c r="E168">
        <v>95</v>
      </c>
    </row>
    <row r="169" spans="1:5" x14ac:dyDescent="0.25">
      <c r="A169" s="4" t="s">
        <v>67</v>
      </c>
      <c r="B169">
        <v>1</v>
      </c>
      <c r="C169">
        <v>2</v>
      </c>
      <c r="D169">
        <v>3</v>
      </c>
      <c r="E169">
        <v>4</v>
      </c>
    </row>
    <row r="170" spans="1:5" x14ac:dyDescent="0.25">
      <c r="A170" s="4" t="s">
        <v>38</v>
      </c>
      <c r="B170">
        <v>49</v>
      </c>
      <c r="C170">
        <v>130</v>
      </c>
      <c r="D170">
        <v>126</v>
      </c>
      <c r="E170">
        <v>215</v>
      </c>
    </row>
    <row r="171" spans="1:5" x14ac:dyDescent="0.25">
      <c r="A171" s="4" t="s">
        <v>241</v>
      </c>
      <c r="B171">
        <v>1</v>
      </c>
      <c r="C171">
        <v>0</v>
      </c>
      <c r="D171">
        <v>0</v>
      </c>
      <c r="E171">
        <v>0</v>
      </c>
    </row>
    <row r="172" spans="1:5" x14ac:dyDescent="0.25">
      <c r="A172" s="4" t="s">
        <v>219</v>
      </c>
      <c r="B172">
        <v>1</v>
      </c>
      <c r="C172">
        <v>2</v>
      </c>
      <c r="D172">
        <v>21</v>
      </c>
      <c r="E172">
        <v>20</v>
      </c>
    </row>
    <row r="173" spans="1:5" x14ac:dyDescent="0.25">
      <c r="A173" s="4" t="s">
        <v>169</v>
      </c>
      <c r="B173">
        <v>6</v>
      </c>
      <c r="C173">
        <v>9</v>
      </c>
      <c r="D173">
        <v>15</v>
      </c>
      <c r="E173">
        <v>19</v>
      </c>
    </row>
    <row r="174" spans="1:5" x14ac:dyDescent="0.25">
      <c r="A174" s="4" t="s">
        <v>106</v>
      </c>
      <c r="B174">
        <v>1</v>
      </c>
      <c r="C174">
        <v>1</v>
      </c>
      <c r="D174">
        <v>2</v>
      </c>
      <c r="E174">
        <v>3</v>
      </c>
    </row>
    <row r="175" spans="1:5" x14ac:dyDescent="0.25">
      <c r="A175" s="4" t="s">
        <v>427</v>
      </c>
      <c r="B175">
        <v>96</v>
      </c>
      <c r="C175">
        <v>192</v>
      </c>
      <c r="D175">
        <v>258</v>
      </c>
      <c r="E175">
        <v>356</v>
      </c>
    </row>
    <row r="179" spans="1:2" x14ac:dyDescent="0.25">
      <c r="A179" s="3" t="s">
        <v>426</v>
      </c>
      <c r="B179" t="s">
        <v>436</v>
      </c>
    </row>
    <row r="180" spans="1:2" x14ac:dyDescent="0.25">
      <c r="A180" s="4" t="s">
        <v>217</v>
      </c>
      <c r="B180">
        <v>2</v>
      </c>
    </row>
    <row r="181" spans="1:2" x14ac:dyDescent="0.25">
      <c r="A181" s="4" t="s">
        <v>347</v>
      </c>
      <c r="B181">
        <v>2</v>
      </c>
    </row>
    <row r="182" spans="1:2" x14ac:dyDescent="0.25">
      <c r="A182" s="4" t="s">
        <v>269</v>
      </c>
      <c r="B182">
        <v>2</v>
      </c>
    </row>
    <row r="183" spans="1:2" x14ac:dyDescent="0.25">
      <c r="A183" s="4" t="s">
        <v>149</v>
      </c>
      <c r="B183">
        <v>2</v>
      </c>
    </row>
    <row r="184" spans="1:2" x14ac:dyDescent="0.25">
      <c r="A184" s="4" t="s">
        <v>48</v>
      </c>
      <c r="B184">
        <v>2</v>
      </c>
    </row>
    <row r="185" spans="1:2" x14ac:dyDescent="0.25">
      <c r="A185" s="4" t="s">
        <v>66</v>
      </c>
      <c r="B185">
        <v>2</v>
      </c>
    </row>
    <row r="186" spans="1:2" x14ac:dyDescent="0.25">
      <c r="A186" s="4" t="s">
        <v>119</v>
      </c>
      <c r="B186">
        <v>2</v>
      </c>
    </row>
    <row r="187" spans="1:2" x14ac:dyDescent="0.25">
      <c r="A187" s="4" t="s">
        <v>21</v>
      </c>
      <c r="B187">
        <v>2</v>
      </c>
    </row>
    <row r="188" spans="1:2" x14ac:dyDescent="0.25">
      <c r="A188" s="4" t="s">
        <v>320</v>
      </c>
      <c r="B188">
        <v>2</v>
      </c>
    </row>
    <row r="189" spans="1:2" x14ac:dyDescent="0.25">
      <c r="A189" s="4" t="s">
        <v>88</v>
      </c>
      <c r="B189">
        <v>2</v>
      </c>
    </row>
    <row r="190" spans="1:2" x14ac:dyDescent="0.25">
      <c r="A190" s="4" t="s">
        <v>196</v>
      </c>
      <c r="B190">
        <v>2</v>
      </c>
    </row>
    <row r="191" spans="1:2" x14ac:dyDescent="0.25">
      <c r="A191" s="4" t="s">
        <v>22</v>
      </c>
      <c r="B191">
        <v>2</v>
      </c>
    </row>
    <row r="192" spans="1:2" x14ac:dyDescent="0.25">
      <c r="A192" s="4" t="s">
        <v>427</v>
      </c>
      <c r="B192">
        <v>24</v>
      </c>
    </row>
    <row r="196" spans="1:3" x14ac:dyDescent="0.25">
      <c r="A196" s="3" t="s">
        <v>426</v>
      </c>
      <c r="B196" t="s">
        <v>432</v>
      </c>
      <c r="C196" t="s">
        <v>445</v>
      </c>
    </row>
    <row r="197" spans="1:3" x14ac:dyDescent="0.25">
      <c r="A197" s="4" t="s">
        <v>18</v>
      </c>
      <c r="B197">
        <v>37</v>
      </c>
      <c r="C197" s="5">
        <v>984660.81081081077</v>
      </c>
    </row>
    <row r="198" spans="1:3" x14ac:dyDescent="0.25">
      <c r="A198" s="4" t="s">
        <v>67</v>
      </c>
      <c r="B198">
        <v>1</v>
      </c>
      <c r="C198" s="5">
        <v>1800000</v>
      </c>
    </row>
    <row r="199" spans="1:3" x14ac:dyDescent="0.25">
      <c r="A199" s="4" t="s">
        <v>38</v>
      </c>
      <c r="B199">
        <v>49</v>
      </c>
      <c r="C199" s="5">
        <v>1898408.163265306</v>
      </c>
    </row>
    <row r="200" spans="1:3" x14ac:dyDescent="0.25">
      <c r="A200" s="4" t="s">
        <v>241</v>
      </c>
      <c r="B200">
        <v>1</v>
      </c>
      <c r="C200" s="5">
        <v>2000000</v>
      </c>
    </row>
    <row r="201" spans="1:3" x14ac:dyDescent="0.25">
      <c r="A201" s="4" t="s">
        <v>219</v>
      </c>
      <c r="B201">
        <v>1</v>
      </c>
      <c r="C201" s="5">
        <v>2650000</v>
      </c>
    </row>
    <row r="202" spans="1:3" x14ac:dyDescent="0.25">
      <c r="A202" s="4" t="s">
        <v>169</v>
      </c>
      <c r="B202">
        <v>6</v>
      </c>
      <c r="C202" s="5">
        <v>1282500</v>
      </c>
    </row>
    <row r="203" spans="1:3" x14ac:dyDescent="0.25">
      <c r="A203" s="4" t="s">
        <v>106</v>
      </c>
      <c r="B203">
        <v>1</v>
      </c>
      <c r="C203" s="5">
        <v>1050000</v>
      </c>
    </row>
    <row r="204" spans="1:3" x14ac:dyDescent="0.25">
      <c r="A204" s="4" t="s">
        <v>427</v>
      </c>
      <c r="B204">
        <v>96</v>
      </c>
      <c r="C204" s="5">
        <v>1506765.1041666667</v>
      </c>
    </row>
    <row r="207" spans="1:3" x14ac:dyDescent="0.25">
      <c r="A207" s="3" t="s">
        <v>426</v>
      </c>
      <c r="B207" t="s">
        <v>445</v>
      </c>
    </row>
    <row r="208" spans="1:3" x14ac:dyDescent="0.25">
      <c r="A208" s="4" t="s">
        <v>200</v>
      </c>
      <c r="B208" s="5">
        <v>1845000</v>
      </c>
    </row>
    <row r="209" spans="1:3" x14ac:dyDescent="0.25">
      <c r="A209" s="4" t="s">
        <v>195</v>
      </c>
      <c r="B209" s="5">
        <v>3050000</v>
      </c>
    </row>
    <row r="210" spans="1:3" x14ac:dyDescent="0.25">
      <c r="A210" s="4" t="s">
        <v>210</v>
      </c>
      <c r="B210" s="5">
        <v>1867500</v>
      </c>
    </row>
    <row r="211" spans="1:3" x14ac:dyDescent="0.25">
      <c r="A211" s="4" t="s">
        <v>224</v>
      </c>
      <c r="B211" s="5">
        <v>2025000</v>
      </c>
    </row>
    <row r="212" spans="1:3" x14ac:dyDescent="0.25">
      <c r="A212" s="4" t="s">
        <v>216</v>
      </c>
      <c r="B212" s="5">
        <v>1992000</v>
      </c>
    </row>
    <row r="213" spans="1:3" x14ac:dyDescent="0.25">
      <c r="A213" s="4" t="s">
        <v>427</v>
      </c>
      <c r="B213" s="5">
        <v>2034210.5263157894</v>
      </c>
    </row>
    <row r="216" spans="1:3" x14ac:dyDescent="0.25">
      <c r="A216" s="3" t="s">
        <v>426</v>
      </c>
      <c r="B216" t="s">
        <v>445</v>
      </c>
      <c r="C216" t="s">
        <v>432</v>
      </c>
    </row>
    <row r="217" spans="1:3" x14ac:dyDescent="0.25">
      <c r="A217" s="4" t="s">
        <v>207</v>
      </c>
      <c r="B217" s="5">
        <v>2880000</v>
      </c>
      <c r="C217">
        <v>1</v>
      </c>
    </row>
    <row r="218" spans="1:3" x14ac:dyDescent="0.25">
      <c r="A218" s="4" t="s">
        <v>218</v>
      </c>
      <c r="B218" s="5">
        <v>2650000</v>
      </c>
      <c r="C218">
        <v>2</v>
      </c>
    </row>
    <row r="219" spans="1:3" x14ac:dyDescent="0.25">
      <c r="A219" s="4" t="s">
        <v>202</v>
      </c>
      <c r="B219" s="5">
        <v>2995000</v>
      </c>
      <c r="C219">
        <v>1</v>
      </c>
    </row>
    <row r="220" spans="1:3" x14ac:dyDescent="0.25">
      <c r="A220" s="4" t="s">
        <v>197</v>
      </c>
      <c r="B220" s="5">
        <v>2683333.3333333335</v>
      </c>
      <c r="C220">
        <v>3</v>
      </c>
    </row>
    <row r="221" spans="1:3" x14ac:dyDescent="0.25">
      <c r="A221" s="4" t="s">
        <v>212</v>
      </c>
      <c r="B221" s="5">
        <v>2850000</v>
      </c>
      <c r="C221">
        <v>1</v>
      </c>
    </row>
    <row r="222" spans="1:3" x14ac:dyDescent="0.25">
      <c r="A222" s="4" t="s">
        <v>427</v>
      </c>
      <c r="B222" s="5">
        <v>2759375</v>
      </c>
      <c r="C222">
        <v>8</v>
      </c>
    </row>
    <row r="228" spans="1:3" x14ac:dyDescent="0.25">
      <c r="A228" s="3" t="s">
        <v>426</v>
      </c>
      <c r="B228" t="s">
        <v>445</v>
      </c>
      <c r="C228" t="s">
        <v>428</v>
      </c>
    </row>
    <row r="229" spans="1:3" x14ac:dyDescent="0.25">
      <c r="A229" s="4" t="s">
        <v>201</v>
      </c>
      <c r="B229" s="5">
        <v>2995000</v>
      </c>
      <c r="C229">
        <v>1</v>
      </c>
    </row>
    <row r="230" spans="1:3" x14ac:dyDescent="0.25">
      <c r="A230" s="4" t="s">
        <v>162</v>
      </c>
      <c r="B230" s="5">
        <v>3400000</v>
      </c>
      <c r="C230">
        <v>1</v>
      </c>
    </row>
    <row r="231" spans="1:3" x14ac:dyDescent="0.25">
      <c r="A231" s="4" t="s">
        <v>196</v>
      </c>
      <c r="B231" s="5">
        <v>3050000</v>
      </c>
      <c r="C231">
        <v>2</v>
      </c>
    </row>
    <row r="232" spans="1:3" x14ac:dyDescent="0.25">
      <c r="A232" s="4" t="s">
        <v>427</v>
      </c>
      <c r="B232" s="5">
        <v>3123750</v>
      </c>
      <c r="C232">
        <v>4</v>
      </c>
    </row>
    <row r="233" spans="1:3" x14ac:dyDescent="0.25">
      <c r="A233" s="3" t="s">
        <v>8</v>
      </c>
      <c r="B233" t="s" vm="1">
        <v>476</v>
      </c>
    </row>
    <row r="234" spans="1:3" x14ac:dyDescent="0.25">
      <c r="A234" s="3" t="s">
        <v>7</v>
      </c>
      <c r="B234" t="s" vm="2">
        <v>476</v>
      </c>
    </row>
    <row r="235" spans="1:3" x14ac:dyDescent="0.25">
      <c r="A235" s="3" t="s">
        <v>10</v>
      </c>
      <c r="B235" t="s" vm="3">
        <v>476</v>
      </c>
    </row>
    <row r="236" spans="1:3" x14ac:dyDescent="0.25">
      <c r="A236" s="3" t="s">
        <v>4</v>
      </c>
      <c r="B236" t="s" vm="4">
        <v>476</v>
      </c>
    </row>
    <row r="238" spans="1:3" x14ac:dyDescent="0.25">
      <c r="A238" s="3" t="s">
        <v>426</v>
      </c>
      <c r="B238" t="s">
        <v>432</v>
      </c>
    </row>
    <row r="239" spans="1:3" x14ac:dyDescent="0.25">
      <c r="A239" s="4" t="s">
        <v>475</v>
      </c>
      <c r="B239">
        <v>25</v>
      </c>
    </row>
    <row r="240" spans="1:3" x14ac:dyDescent="0.25">
      <c r="A240" s="4" t="s">
        <v>470</v>
      </c>
      <c r="B240">
        <v>28</v>
      </c>
    </row>
    <row r="241" spans="1:2" x14ac:dyDescent="0.25">
      <c r="A241" s="4" t="s">
        <v>469</v>
      </c>
      <c r="B241">
        <v>26</v>
      </c>
    </row>
    <row r="242" spans="1:2" x14ac:dyDescent="0.25">
      <c r="A242" s="4" t="s">
        <v>472</v>
      </c>
      <c r="B242">
        <v>6</v>
      </c>
    </row>
    <row r="243" spans="1:2" x14ac:dyDescent="0.25">
      <c r="A243" s="4" t="s">
        <v>471</v>
      </c>
      <c r="B243">
        <v>9</v>
      </c>
    </row>
    <row r="244" spans="1:2" x14ac:dyDescent="0.25">
      <c r="A244" s="4" t="s">
        <v>474</v>
      </c>
      <c r="B244">
        <v>1</v>
      </c>
    </row>
    <row r="245" spans="1:2" x14ac:dyDescent="0.25">
      <c r="A245" s="4" t="s">
        <v>473</v>
      </c>
      <c r="B245">
        <v>1</v>
      </c>
    </row>
    <row r="246" spans="1:2" x14ac:dyDescent="0.25">
      <c r="A246" s="4" t="s">
        <v>427</v>
      </c>
      <c r="B246">
        <v>96</v>
      </c>
    </row>
  </sheetData>
  <pageMargins left="0.7" right="0.7" top="0.75" bottom="0.75" header="0.3" footer="0.3"/>
  <pageSetup orientation="portrait" r:id="rId17"/>
  <drawing r:id="rId18"/>
  <extLst>
    <ext xmlns:x14="http://schemas.microsoft.com/office/spreadsheetml/2009/9/main" uri="{A8765BA9-456A-4dab-B4F3-ACF838C121DE}">
      <x14:slicerList>
        <x14:slicer r:id="rId19"/>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96A34-48F9-4997-B6D7-45C2393C37DC}">
  <dimension ref="B1:H26"/>
  <sheetViews>
    <sheetView showGridLines="0" tabSelected="1" zoomScale="86" zoomScaleNormal="86" workbookViewId="0">
      <selection activeCell="S23" sqref="S23"/>
    </sheetView>
  </sheetViews>
  <sheetFormatPr defaultRowHeight="15" x14ac:dyDescent="0.25"/>
  <cols>
    <col min="5" max="5" width="53.85546875" bestFit="1" customWidth="1"/>
    <col min="6" max="6" width="17.85546875" bestFit="1" customWidth="1"/>
    <col min="8" max="8" width="19.7109375" bestFit="1" customWidth="1"/>
    <col min="9" max="9" width="7.5703125" bestFit="1" customWidth="1"/>
  </cols>
  <sheetData>
    <row r="1" spans="2:2" s="1" customFormat="1" x14ac:dyDescent="0.25"/>
    <row r="2" spans="2:2" s="1" customFormat="1" x14ac:dyDescent="0.25"/>
    <row r="3" spans="2:2" s="1" customFormat="1" x14ac:dyDescent="0.25"/>
    <row r="4" spans="2:2" s="1" customFormat="1" x14ac:dyDescent="0.25">
      <c r="B4" s="2"/>
    </row>
    <row r="5" spans="2:2" s="1" customFormat="1" x14ac:dyDescent="0.25">
      <c r="B5" s="2"/>
    </row>
    <row r="6" spans="2:2" s="1" customFormat="1" x14ac:dyDescent="0.25"/>
    <row r="7" spans="2:2" s="1" customFormat="1" x14ac:dyDescent="0.25"/>
    <row r="8" spans="2:2" s="1" customFormat="1" x14ac:dyDescent="0.25"/>
    <row r="26" spans="8:8" x14ac:dyDescent="0.25">
      <c r="H26">
        <v>2</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51" r:id="rId4" name="Drop Down 3">
              <controlPr defaultSize="0" autoLine="0" autoPict="0">
                <anchor moveWithCells="1">
                  <from>
                    <xdr:col>5</xdr:col>
                    <xdr:colOff>1000125</xdr:colOff>
                    <xdr:row>2</xdr:row>
                    <xdr:rowOff>9525</xdr:rowOff>
                  </from>
                  <to>
                    <xdr:col>7</xdr:col>
                    <xdr:colOff>209550</xdr:colOff>
                    <xdr:row>3</xdr:row>
                    <xdr:rowOff>28575</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1E86A1-786C-495A-9F8C-14C3C25165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Hurstville</vt:lpstr>
      <vt:lpstr>Parramatta</vt:lpstr>
      <vt:lpstr>Combined</vt:lpstr>
      <vt:lpstr>Sheet1</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Razul Pradhan</dc:creator>
  <cp:lastModifiedBy>Razul Pradhan</cp:lastModifiedBy>
  <dcterms:created xsi:type="dcterms:W3CDTF">2025-08-21T06:59:25Z</dcterms:created>
  <dcterms:modified xsi:type="dcterms:W3CDTF">2025-08-26T13:56:05Z</dcterms:modified>
</cp:coreProperties>
</file>
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zul\Downloads\Click consulting\For GIthub Uploads\Excel Projects\Practicing complex business question\"/>
    </mc:Choice>
  </mc:AlternateContent>
  <xr:revisionPtr revIDLastSave="0" documentId="13_ncr:1_{7730E606-29B8-4349-89DC-03D54CD7AF96}" xr6:coauthVersionLast="47" xr6:coauthVersionMax="47" xr10:uidLastSave="{00000000-0000-0000-0000-000000000000}"/>
  <bookViews>
    <workbookView xWindow="41730" yWindow="0" windowWidth="15975" windowHeight="15585" activeTab="1" xr2:uid="{00000000-000D-0000-FFFF-FFFF00000000}"/>
  </bookViews>
  <sheets>
    <sheet name="Sales Data" sheetId="1" r:id="rId1"/>
    <sheet name="Customer Churn" sheetId="2" r:id="rId2"/>
    <sheet name="Employee Performance" sheetId="3" r:id="rId3"/>
    <sheet name="Data Cleaning" sheetId="4" r:id="rId4"/>
  </sheet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 a="1"/>
  <c r="H6" i="2" s="1"/>
  <c r="G6" i="2" a="1"/>
  <c r="G6" i="2" s="1"/>
  <c r="G2" i="2" a="1"/>
  <c r="G2" i="2" s="1"/>
  <c r="H2" i="2" s="1" a="1"/>
  <c r="H2" i="2" s="1"/>
  <c r="B20" i="1" a="1"/>
  <c r="B20" i="1" s="1"/>
  <c r="A20" i="1" a="1"/>
  <c r="A20" i="1" s="1"/>
  <c r="G10" i="2" l="1" a="1"/>
  <c r="G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<sst xmlns="http://schemas.openxmlformats.org/spreadsheetml/2006/main" count="138" uniqueCount="99">
  <si>
    <t>Date</t>
  </si>
  <si>
    <t>Product</t>
  </si>
  <si>
    <t>Region</t>
  </si>
  <si>
    <t>Sales Rep</t>
  </si>
  <si>
    <t>Quantity</t>
  </si>
  <si>
    <t>Unit Price</t>
  </si>
  <si>
    <t>Revenue</t>
  </si>
  <si>
    <t>Laptop</t>
  </si>
  <si>
    <t>Phone</t>
  </si>
  <si>
    <t>Tablet</t>
  </si>
  <si>
    <t>NSW</t>
  </si>
  <si>
    <t>VIC</t>
  </si>
  <si>
    <t>QLD</t>
  </si>
  <si>
    <t>John</t>
  </si>
  <si>
    <t>Sarah</t>
  </si>
  <si>
    <t>Mike</t>
  </si>
  <si>
    <t>Customer ID</t>
  </si>
  <si>
    <t>Join Date</t>
  </si>
  <si>
    <t>Last Activity Date</t>
  </si>
  <si>
    <t>Monthly Plan ($)</t>
  </si>
  <si>
    <t>Status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</si>
  <si>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</si>
  <si>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</si>
  <si>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</si>
  <si>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</si>
  <si>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</si>
  <si>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</si>
  <si>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</si>
  <si>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</si>
  <si>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</si>
  <si>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</si>
  <si>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2021-06</t>
  </si>
  <si>
    <t>2021-12</t>
  </si>
  <si>
    <t>2022-06</t>
  </si>
  <si>
    <t>2022-12</t>
  </si>
  <si>
    <t>2023-06</t>
  </si>
  <si>
    <t>2023-12</t>
  </si>
  <si>
    <t>2024-06</t>
  </si>
  <si>
    <t>2024-12</t>
  </si>
  <si>
    <t>2025-06</t>
  </si>
  <si>
    <t>2025-12</t>
  </si>
  <si>
    <t>2023-07</t>
  </si>
  <si>
    <t>2023-08</t>
  </si>
  <si>
    <t>2023-09</t>
  </si>
  <si>
    <t>2023-10</t>
  </si>
  <si>
    <t>2023-11</t>
  </si>
  <si>
    <t>2024-01</t>
  </si>
  <si>
    <t>2024-02</t>
  </si>
  <si>
    <t>2024-03</t>
  </si>
  <si>
    <t>Active</t>
  </si>
  <si>
    <t>Churned</t>
  </si>
  <si>
    <t>Employee</t>
  </si>
  <si>
    <t>Department</t>
  </si>
  <si>
    <t>Tasks Completed</t>
  </si>
  <si>
    <t>Hours Worked</t>
  </si>
  <si>
    <t>Efficiency (%)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</si>
  <si>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</si>
  <si>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</si>
  <si>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</si>
  <si>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</si>
  <si>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</si>
  <si>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</si>
  <si>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</si>
  <si>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</si>
  <si>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Ivy</t>
  </si>
  <si>
    <t>Jack</t>
  </si>
  <si>
    <t>Sales</t>
  </si>
  <si>
    <t>HR</t>
  </si>
  <si>
    <t>IT</t>
  </si>
  <si>
    <t>Finance</t>
  </si>
  <si>
    <t>Marketing</t>
  </si>
  <si>
    <t>Name</t>
  </si>
  <si>
    <t>Phone Number</t>
  </si>
  <si>
    <t>Email</t>
  </si>
  <si>
    <t>john smith</t>
  </si>
  <si>
    <t>SARAH CONNOR</t>
  </si>
  <si>
    <t>michael brown</t>
  </si>
  <si>
    <t>LISA WHITE</t>
  </si>
  <si>
    <t>david black</t>
  </si>
  <si>
    <t>123-456-7890</t>
  </si>
  <si>
    <t>987 654 3210</t>
  </si>
  <si>
    <t>456-789-1234</t>
  </si>
  <si>
    <t>321.654.9870</t>
  </si>
  <si>
    <t>7894561230</t>
  </si>
  <si>
    <t xml:space="preserve"> john.smith@email.com </t>
  </si>
  <si>
    <t>SARAH.CONNOR@email.com</t>
  </si>
  <si>
    <t xml:space="preserve"> michael.brown@email.com </t>
  </si>
  <si>
    <t>lisa.white@email.com</t>
  </si>
  <si>
    <t xml:space="preserve">DAVID.BLACK@email.com </t>
  </si>
  <si>
    <t>Row Labels</t>
  </si>
  <si>
    <t>Grand Total</t>
  </si>
  <si>
    <t>Sum of Revenue</t>
  </si>
  <si>
    <t>1. Calculate the total sales made by each Sales Rep using SUMIFS().</t>
  </si>
  <si>
    <t>1. Find total revenue for each region using a Pivot Table.</t>
  </si>
  <si>
    <t>1. Create a bar chart to compare total revenue by region.</t>
  </si>
  <si>
    <t>1. Highlight the top 5 highest sales transactions using Conditional Formatting.</t>
  </si>
  <si>
    <t>1. Calculate the number of active and churned customers using COUNTIFS().</t>
  </si>
  <si>
    <t>Find the average Monthly Plan value for churned customers using AVERAGEIFS().</t>
  </si>
  <si>
    <t>1. Identify customers who haven't used the service in the last 6 months using IF() and TODAY().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</si>
</sst>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[Excel_Random_Practice.xlsx]Sales Data!PivotTable9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Data'!$A$15:$A$18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'Sales Data'!$B$15:$B$18</c:f>
              <c:numCache>
                <c:formatCode>General</c:formatCode>
                <c:ptCount val="3"/>
                <c:pt idx="0">
                  <c:v>10800</c:v>
                </c:pt>
                <c:pt idx="1">
                  <c:v>7000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CC9-AA1B-9020CD567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036624"/>
        <c:axId val="988041424"/>
      </c:barChart>
      <c:catAx>
        <c:axId val="98803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41424"/>
        <c:crosses val="autoZero"/>
        <c:auto val="1"/>
        <c:lblAlgn val="ctr"/>
        <c:lblOffset val="100"/>
        <c:noMultiLvlLbl val="0"/>
      </c:catAx>
      <c:valAx>
        <c:axId val="9880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8</xdr:row>
      <xdr:rowOff>138112</xdr:rowOff>
    </xdr:from>
    <xdr:to>
      <xdr:col>13</xdr:col>
      <xdr:colOff>61911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DAF86-AC23-A66A-AB6D-B60163CA7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zul Pradhan" refreshedDate="45890.641786111111" createdVersion="8" refreshedVersion="8" minRefreshableVersion="3" recordCount="10" xr:uid="{82C496A3-6870-4873-99B0-7C486A2B88B3}">
  <cacheSource type="worksheet">
    <worksheetSource ref="A1:G11" sheet="Sales Data"/>
  </cacheSource>
  <cacheFields count="7">
    <cacheField name="Date" numFmtId="164">
      <sharedItems containsSemiMixedTypes="0" containsNonDate="0" containsDate="1" containsString="0" minDate="2024-01-01T00:00:00" maxDate="2024-01-11T00:00:00"/>
    </cacheField>
    <cacheField name="Product" numFmtId="0">
      <sharedItems/>
    </cacheField>
    <cacheField name="Region" numFmtId="0">
      <sharedItems count="3">
        <s v="NSW"/>
        <s v="VIC"/>
        <s v="QLD"/>
      </sharedItems>
    </cacheField>
    <cacheField name="Sales Rep" numFmtId="0">
      <sharedItems/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500" maxValue="1200"/>
    </cacheField>
    <cacheField name="Revenue" numFmtId="0">
      <sharedItems containsSemiMixedTypes="0" containsString="0" containsNumber="1" containsInteger="1" minValue="1200" maxValue="4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1-01T00:00:00"/>
    <s v="Laptop"/>
    <x v="0"/>
    <s v="John"/>
    <n v="2"/>
    <n v="1200"/>
    <n v="2400"/>
  </r>
  <r>
    <d v="2024-01-02T00:00:00"/>
    <s v="Phone"/>
    <x v="1"/>
    <s v="Sarah"/>
    <n v="5"/>
    <n v="800"/>
    <n v="4000"/>
  </r>
  <r>
    <d v="2024-01-03T00:00:00"/>
    <s v="Tablet"/>
    <x v="2"/>
    <s v="Mike"/>
    <n v="3"/>
    <n v="500"/>
    <n v="1500"/>
  </r>
  <r>
    <d v="2024-01-04T00:00:00"/>
    <s v="Laptop"/>
    <x v="0"/>
    <s v="John"/>
    <n v="4"/>
    <n v="1200"/>
    <n v="4800"/>
  </r>
  <r>
    <d v="2024-01-05T00:00:00"/>
    <s v="Phone"/>
    <x v="1"/>
    <s v="Sarah"/>
    <n v="2"/>
    <n v="800"/>
    <n v="1600"/>
  </r>
  <r>
    <d v="2024-01-06T00:00:00"/>
    <s v="Tablet"/>
    <x v="2"/>
    <s v="Mike"/>
    <n v="6"/>
    <n v="500"/>
    <n v="3000"/>
  </r>
  <r>
    <d v="2024-01-07T00:00:00"/>
    <s v="Laptop"/>
    <x v="0"/>
    <s v="John"/>
    <n v="1"/>
    <n v="1200"/>
    <n v="1200"/>
  </r>
  <r>
    <d v="2024-01-08T00:00:00"/>
    <s v="Phone"/>
    <x v="1"/>
    <s v="Sarah"/>
    <n v="3"/>
    <n v="800"/>
    <n v="2400"/>
  </r>
  <r>
    <d v="2024-01-09T00:00:00"/>
    <s v="Tablet"/>
    <x v="2"/>
    <s v="Mike"/>
    <n v="5"/>
    <n v="500"/>
    <n v="2500"/>
  </r>
  <r>
    <d v="2024-01-10T00:00:00"/>
    <s v="Laptop"/>
    <x v="0"/>
    <s v="John"/>
    <n v="2"/>
    <n v="1200"/>
    <n v="2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356A9-CCD1-4AF0-903E-E5F3C63E67D1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18" firstHeaderRow="1" firstDataRow="1" firstDataCol="1"/>
  <pivotFields count="7"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G17" sqref="G1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2">
        <v>45292</v>
      </c>
      <c r="B2" t="s">
        <v>7</v>
      </c>
      <c r="C2" t="s">
        <v>10</v>
      </c>
      <c r="D2" t="s">
        <v>13</v>
      </c>
      <c r="E2">
        <v>2</v>
      </c>
      <c r="F2">
        <v>1200</v>
      </c>
      <c r="G2">
        <v>2400</v>
      </c>
    </row>
    <row r="3" spans="1:9" x14ac:dyDescent="0.25">
      <c r="A3" s="2">
        <v>45293</v>
      </c>
      <c r="B3" t="s">
        <v>8</v>
      </c>
      <c r="C3" t="s">
        <v>11</v>
      </c>
      <c r="D3" t="s">
        <v>14</v>
      </c>
      <c r="E3">
        <v>5</v>
      </c>
      <c r="F3">
        <v>800</v>
      </c>
      <c r="G3">
        <v>4000</v>
      </c>
    </row>
    <row r="4" spans="1:9" x14ac:dyDescent="0.25">
      <c r="A4" s="2">
        <v>45294</v>
      </c>
      <c r="B4" t="s">
        <v>9</v>
      </c>
      <c r="C4" t="s">
        <v>12</v>
      </c>
      <c r="D4" t="s">
        <v>15</v>
      </c>
      <c r="E4">
        <v>3</v>
      </c>
      <c r="F4">
        <v>500</v>
      </c>
      <c r="G4">
        <v>1500</v>
      </c>
    </row>
    <row r="5" spans="1:9" x14ac:dyDescent="0.25">
      <c r="A5" s="2">
        <v>45295</v>
      </c>
      <c r="B5" t="s">
        <v>7</v>
      </c>
      <c r="C5" t="s">
        <v>10</v>
      </c>
      <c r="D5" t="s">
        <v>13</v>
      </c>
      <c r="E5">
        <v>4</v>
      </c>
      <c r="F5">
        <v>1200</v>
      </c>
      <c r="G5">
        <v>4800</v>
      </c>
    </row>
    <row r="6" spans="1:9" x14ac:dyDescent="0.25">
      <c r="A6" s="2">
        <v>45296</v>
      </c>
      <c r="B6" t="s">
        <v>8</v>
      </c>
      <c r="C6" t="s">
        <v>11</v>
      </c>
      <c r="D6" t="s">
        <v>14</v>
      </c>
      <c r="E6">
        <v>2</v>
      </c>
      <c r="F6">
        <v>800</v>
      </c>
      <c r="G6">
        <v>1600</v>
      </c>
    </row>
    <row r="7" spans="1:9" x14ac:dyDescent="0.25">
      <c r="A7" s="2">
        <v>45297</v>
      </c>
      <c r="B7" t="s">
        <v>9</v>
      </c>
      <c r="C7" t="s">
        <v>12</v>
      </c>
      <c r="D7" t="s">
        <v>15</v>
      </c>
      <c r="E7">
        <v>6</v>
      </c>
      <c r="F7">
        <v>500</v>
      </c>
      <c r="G7">
        <v>3000</v>
      </c>
    </row>
    <row r="8" spans="1:9" ht="15.75" x14ac:dyDescent="0.25">
      <c r="A8" s="2">
        <v>45298</v>
      </c>
      <c r="B8" t="s">
        <v>7</v>
      </c>
      <c r="C8" t="s">
        <v>10</v>
      </c>
      <c r="D8" t="s">
        <v>13</v>
      </c>
      <c r="E8">
        <v>1</v>
      </c>
      <c r="F8">
        <v>1200</v>
      </c>
      <c r="G8">
        <v>1200</v>
      </c>
      <c r="I8" s="6" t="s">
        <v>94</v>
      </c>
    </row>
    <row r="9" spans="1:9" x14ac:dyDescent="0.25">
      <c r="A9" s="2">
        <v>45299</v>
      </c>
      <c r="B9" t="s">
        <v>8</v>
      </c>
      <c r="C9" t="s">
        <v>11</v>
      </c>
      <c r="D9" t="s">
        <v>14</v>
      </c>
      <c r="E9">
        <v>3</v>
      </c>
      <c r="F9">
        <v>800</v>
      </c>
      <c r="G9">
        <v>2400</v>
      </c>
    </row>
    <row r="10" spans="1:9" x14ac:dyDescent="0.25">
      <c r="A10" s="2">
        <v>45300</v>
      </c>
      <c r="B10" t="s">
        <v>9</v>
      </c>
      <c r="C10" t="s">
        <v>12</v>
      </c>
      <c r="D10" t="s">
        <v>15</v>
      </c>
      <c r="E10">
        <v>5</v>
      </c>
      <c r="F10">
        <v>500</v>
      </c>
      <c r="G10">
        <v>2500</v>
      </c>
    </row>
    <row r="11" spans="1:9" x14ac:dyDescent="0.25">
      <c r="A11" s="2">
        <v>45301</v>
      </c>
      <c r="B11" t="s">
        <v>7</v>
      </c>
      <c r="C11" t="s">
        <v>10</v>
      </c>
      <c r="D11" t="s">
        <v>13</v>
      </c>
      <c r="E11">
        <v>2</v>
      </c>
      <c r="F11">
        <v>1200</v>
      </c>
      <c r="G11">
        <v>2400</v>
      </c>
    </row>
    <row r="13" spans="1:9" ht="15.75" x14ac:dyDescent="0.25">
      <c r="A13" s="6" t="s">
        <v>93</v>
      </c>
    </row>
    <row r="14" spans="1:9" x14ac:dyDescent="0.25">
      <c r="A14" s="3" t="s">
        <v>89</v>
      </c>
      <c r="B14" t="s">
        <v>91</v>
      </c>
    </row>
    <row r="15" spans="1:9" x14ac:dyDescent="0.25">
      <c r="A15" s="4" t="s">
        <v>10</v>
      </c>
      <c r="B15" s="5">
        <v>10800</v>
      </c>
    </row>
    <row r="16" spans="1:9" x14ac:dyDescent="0.25">
      <c r="A16" s="4" t="s">
        <v>12</v>
      </c>
      <c r="B16" s="5">
        <v>7000</v>
      </c>
    </row>
    <row r="17" spans="1:2" x14ac:dyDescent="0.25">
      <c r="A17" s="4" t="s">
        <v>11</v>
      </c>
      <c r="B17" s="5">
        <v>8000</v>
      </c>
    </row>
    <row r="18" spans="1:2" x14ac:dyDescent="0.25">
      <c r="A18" s="4" t="s">
        <v>90</v>
      </c>
      <c r="B18" s="5">
        <v>25800</v>
      </c>
    </row>
    <row r="19" spans="1:2" ht="15.75" x14ac:dyDescent="0.25">
      <c r="A19" s="6" t="s">
        <v>92</v>
      </c>
    </row>
    <row r="20" spans="1:2" x14ac:dyDescent="0.25">
      <c r="A20" t="str" cm="1">
        <f t="array" ref="A20:A22">_xlfn.UNIQUE(_xlfn._xlws.SORT(D2:D11))</f>
        <v>John</v>
      </c>
      <c r="B20" cm="1">
        <f t="array" ref="B20:B22">SUMIFS(G2:G11,D2:D11,_xlfn.ANCHORARRAY(A20))</f>
        <v>10800</v>
      </c>
    </row>
    <row r="21" spans="1:2" x14ac:dyDescent="0.25">
      <c r="A21" t="str">
        <v>Mike</v>
      </c>
      <c r="B21">
        <v>7000</v>
      </c>
    </row>
    <row r="22" spans="1:2" x14ac:dyDescent="0.25">
      <c r="A22" t="str">
        <v>Sarah</v>
      </c>
      <c r="B22">
        <v>8000</v>
      </c>
    </row>
    <row r="23" spans="1:2" ht="15.75" x14ac:dyDescent="0.25">
      <c r="A23" s="6" t="s">
        <v>95</v>
      </c>
    </row>
  </sheetData>
  <conditionalFormatting sqref="G2:G11">
    <cfRule type="top10" dxfId="0" priority="1" rank="5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F4" sqref="F4"/>
    </sheetView>
  </sheetViews>
  <sheetFormatPr defaultRowHeight="15" x14ac:dyDescent="0.25"/>
  <sheetData>
    <row r="1" spans="1:8" ht="15.7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G1" s="6" t="s">
        <v>96</v>
      </c>
    </row>
    <row r="2" spans="1:8" x14ac:dyDescent="0.25">
      <c r="A2" t="s">
        <v>21</v>
      </c>
      <c r="B2" t="s">
        <v>31</v>
      </c>
      <c r="C2" t="s">
        <v>35</v>
      </c>
      <c r="D2">
        <v>50</v>
      </c>
      <c r="E2" t="s">
        <v>49</v>
      </c>
      <c r="F2" s="8"/>
      <c r="G2" t="str" cm="1">
        <f t="array" ref="G2:G3">_xlfn.UNIQUE($E$2:$E$11)</f>
        <v>Active</v>
      </c>
      <c r="H2" cm="1">
        <f t="array" ref="H2:H3">COUNTIFS(E2:E11,_xlfn.ANCHORARRAY(G2))</f>
        <v>5</v>
      </c>
    </row>
    <row r="3" spans="1:8" x14ac:dyDescent="0.25">
      <c r="A3" t="s">
        <v>22</v>
      </c>
      <c r="B3" t="s">
        <v>32</v>
      </c>
      <c r="C3" t="s">
        <v>41</v>
      </c>
      <c r="D3">
        <v>70</v>
      </c>
      <c r="E3" t="s">
        <v>50</v>
      </c>
      <c r="F3" s="8"/>
      <c r="G3" t="str">
        <v>Churned</v>
      </c>
      <c r="H3">
        <v>5</v>
      </c>
    </row>
    <row r="4" spans="1:8" x14ac:dyDescent="0.25">
      <c r="A4" t="s">
        <v>23</v>
      </c>
      <c r="B4" t="s">
        <v>33</v>
      </c>
      <c r="C4" t="s">
        <v>42</v>
      </c>
      <c r="D4">
        <v>60</v>
      </c>
      <c r="E4" t="s">
        <v>49</v>
      </c>
      <c r="F4" s="8"/>
    </row>
    <row r="5" spans="1:8" ht="15.75" x14ac:dyDescent="0.25">
      <c r="A5" t="s">
        <v>24</v>
      </c>
      <c r="B5" t="s">
        <v>34</v>
      </c>
      <c r="C5" t="s">
        <v>43</v>
      </c>
      <c r="D5">
        <v>40</v>
      </c>
      <c r="E5" t="s">
        <v>50</v>
      </c>
      <c r="F5" s="8"/>
      <c r="G5" s="7" t="s">
        <v>97</v>
      </c>
    </row>
    <row r="6" spans="1:8" x14ac:dyDescent="0.25">
      <c r="A6" t="s">
        <v>25</v>
      </c>
      <c r="B6" t="s">
        <v>35</v>
      </c>
      <c r="C6" t="s">
        <v>44</v>
      </c>
      <c r="D6">
        <v>55</v>
      </c>
      <c r="E6" t="s">
        <v>49</v>
      </c>
      <c r="F6" s="8"/>
      <c r="G6" t="str" cm="1">
        <f t="array" ref="G6:G7">_xlfn.UNIQUE($E$2:$E$11)</f>
        <v>Active</v>
      </c>
      <c r="H6" cm="1">
        <f t="array" ref="H6:H7">AVERAGEIFS(D2:D11,E2:E11,_xlfn.ANCHORARRAY(G6))</f>
        <v>57</v>
      </c>
    </row>
    <row r="7" spans="1:8" x14ac:dyDescent="0.25">
      <c r="A7" t="s">
        <v>26</v>
      </c>
      <c r="B7" t="s">
        <v>36</v>
      </c>
      <c r="C7" t="s">
        <v>45</v>
      </c>
      <c r="D7">
        <v>65</v>
      </c>
      <c r="E7" t="s">
        <v>50</v>
      </c>
      <c r="F7" s="8"/>
      <c r="G7" t="str">
        <v>Churned</v>
      </c>
      <c r="H7">
        <v>69</v>
      </c>
    </row>
    <row r="8" spans="1:8" x14ac:dyDescent="0.25">
      <c r="A8" t="s">
        <v>27</v>
      </c>
      <c r="B8" t="s">
        <v>37</v>
      </c>
      <c r="C8" t="s">
        <v>36</v>
      </c>
      <c r="D8">
        <v>75</v>
      </c>
      <c r="E8" t="s">
        <v>49</v>
      </c>
      <c r="F8" s="8"/>
    </row>
    <row r="9" spans="1:8" ht="15.75" x14ac:dyDescent="0.25">
      <c r="A9" t="s">
        <v>28</v>
      </c>
      <c r="B9" t="s">
        <v>38</v>
      </c>
      <c r="C9" t="s">
        <v>46</v>
      </c>
      <c r="D9">
        <v>80</v>
      </c>
      <c r="E9" t="s">
        <v>50</v>
      </c>
      <c r="F9" s="8"/>
      <c r="G9" s="6" t="s">
        <v>98</v>
      </c>
    </row>
    <row r="10" spans="1:8" x14ac:dyDescent="0.25">
      <c r="A10" t="s">
        <v>29</v>
      </c>
      <c r="B10" t="s">
        <v>39</v>
      </c>
      <c r="C10" t="s">
        <v>47</v>
      </c>
      <c r="D10">
        <v>45</v>
      </c>
      <c r="E10" t="s">
        <v>49</v>
      </c>
      <c r="F10" s="8"/>
      <c r="G10" t="str" cm="1">
        <f t="array" ref="G10">_xlfn._xlws.FILTER(
   A2:A11,
   F2:F11="Yes",
   "—None—"
)</f>
        <v>—None—</v>
      </c>
    </row>
    <row r="11" spans="1:8" x14ac:dyDescent="0.25">
      <c r="A11" t="s">
        <v>30</v>
      </c>
      <c r="B11" t="s">
        <v>40</v>
      </c>
      <c r="C11" t="s">
        <v>48</v>
      </c>
      <c r="D11">
        <v>90</v>
      </c>
      <c r="E11" t="s">
        <v>50</v>
      </c>
      <c r="F1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25">
      <c r="A2" t="s">
        <v>56</v>
      </c>
      <c r="B2" t="s">
        <v>66</v>
      </c>
      <c r="C2">
        <v>50</v>
      </c>
      <c r="D2">
        <v>160</v>
      </c>
      <c r="E2">
        <v>31.25</v>
      </c>
    </row>
    <row r="3" spans="1:5" x14ac:dyDescent="0.25">
      <c r="A3" t="s">
        <v>57</v>
      </c>
      <c r="B3" t="s">
        <v>67</v>
      </c>
      <c r="C3">
        <v>30</v>
      </c>
      <c r="D3">
        <v>140</v>
      </c>
      <c r="E3">
        <v>21.428571428571431</v>
      </c>
    </row>
    <row r="4" spans="1:5" x14ac:dyDescent="0.25">
      <c r="A4" t="s">
        <v>58</v>
      </c>
      <c r="B4" t="s">
        <v>68</v>
      </c>
      <c r="C4">
        <v>45</v>
      </c>
      <c r="D4">
        <v>150</v>
      </c>
      <c r="E4">
        <v>30</v>
      </c>
    </row>
    <row r="5" spans="1:5" x14ac:dyDescent="0.25">
      <c r="A5" t="s">
        <v>59</v>
      </c>
      <c r="B5" t="s">
        <v>69</v>
      </c>
      <c r="C5">
        <v>60</v>
      </c>
      <c r="D5">
        <v>170</v>
      </c>
      <c r="E5">
        <v>35.294117647058833</v>
      </c>
    </row>
    <row r="6" spans="1:5" x14ac:dyDescent="0.25">
      <c r="A6" t="s">
        <v>60</v>
      </c>
      <c r="B6" t="s">
        <v>70</v>
      </c>
      <c r="C6">
        <v>55</v>
      </c>
      <c r="D6">
        <v>165</v>
      </c>
      <c r="E6">
        <v>33.333333333333329</v>
      </c>
    </row>
    <row r="7" spans="1:5" x14ac:dyDescent="0.25">
      <c r="A7" t="s">
        <v>61</v>
      </c>
      <c r="B7" t="s">
        <v>66</v>
      </c>
      <c r="C7">
        <v>40</v>
      </c>
      <c r="D7">
        <v>155</v>
      </c>
      <c r="E7">
        <v>25.806451612903221</v>
      </c>
    </row>
    <row r="8" spans="1:5" x14ac:dyDescent="0.25">
      <c r="A8" t="s">
        <v>62</v>
      </c>
      <c r="B8" t="s">
        <v>67</v>
      </c>
      <c r="C8">
        <v>35</v>
      </c>
      <c r="D8">
        <v>145</v>
      </c>
      <c r="E8">
        <v>24.137931034482762</v>
      </c>
    </row>
    <row r="9" spans="1:5" x14ac:dyDescent="0.25">
      <c r="A9" t="s">
        <v>63</v>
      </c>
      <c r="B9" t="s">
        <v>68</v>
      </c>
      <c r="C9">
        <v>48</v>
      </c>
      <c r="D9">
        <v>148</v>
      </c>
      <c r="E9">
        <v>32.432432432432442</v>
      </c>
    </row>
    <row r="10" spans="1:5" x14ac:dyDescent="0.25">
      <c r="A10" t="s">
        <v>64</v>
      </c>
      <c r="B10" t="s">
        <v>69</v>
      </c>
      <c r="C10">
        <v>52</v>
      </c>
      <c r="D10">
        <v>162</v>
      </c>
      <c r="E10">
        <v>32.098765432098773</v>
      </c>
    </row>
    <row r="11" spans="1:5" x14ac:dyDescent="0.25">
      <c r="A11" t="s">
        <v>65</v>
      </c>
      <c r="B11" t="s">
        <v>70</v>
      </c>
      <c r="C11">
        <v>58</v>
      </c>
      <c r="D11">
        <v>175</v>
      </c>
      <c r="E11">
        <v>33.142857142857139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 t="s">
        <v>74</v>
      </c>
      <c r="B2" t="s">
        <v>79</v>
      </c>
      <c r="C2" t="s">
        <v>84</v>
      </c>
    </row>
    <row r="3" spans="1:3" x14ac:dyDescent="0.25">
      <c r="A3" t="s">
        <v>75</v>
      </c>
      <c r="B3" t="s">
        <v>80</v>
      </c>
      <c r="C3" t="s">
        <v>85</v>
      </c>
    </row>
    <row r="4" spans="1:3" x14ac:dyDescent="0.25">
      <c r="A4" t="s">
        <v>76</v>
      </c>
      <c r="B4" t="s">
        <v>81</v>
      </c>
      <c r="C4" t="s">
        <v>86</v>
      </c>
    </row>
    <row r="5" spans="1:3" x14ac:dyDescent="0.25">
      <c r="A5" t="s">
        <v>77</v>
      </c>
      <c r="B5" t="s">
        <v>82</v>
      </c>
      <c r="C5" t="s">
        <v>87</v>
      </c>
    </row>
    <row r="6" spans="1:3" x14ac:dyDescent="0.25">
      <c r="A6" t="s">
        <v>78</v>
      </c>
      <c r="B6" t="s">
        <v>83</v>
      </c>
      <c r="C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Customer Churn</vt:lpstr>
      <vt:lpstr>Employee Performance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Razul Pradhan</dc:creator>
  <cp:lastModifiedBy>Razul Pradhan</cp:lastModifiedBy>
  <dcterms:created xsi:type="dcterms:W3CDTF">2025-02-22T05:18:28Z</dcterms:created>
  <dcterms:modified xsi:type="dcterms:W3CDTF">2025-08-21T05:43:37Z</dcterms:modified>
</cp:coreProperties>
</file>